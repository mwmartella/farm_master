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arm_master\"/>
    </mc:Choice>
  </mc:AlternateContent>
  <xr:revisionPtr revIDLastSave="0" documentId="8_{B1BBD7ED-3129-4B10-9328-D75BEEA3C5D2}" xr6:coauthVersionLast="47" xr6:coauthVersionMax="47" xr10:uidLastSave="{00000000-0000-0000-0000-000000000000}"/>
  <bookViews>
    <workbookView xWindow="2730" yWindow="750" windowWidth="23610" windowHeight="15450" xr2:uid="{B343AF29-0741-45AA-BDF5-00B657F8FC7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59" i="1" l="1"/>
  <c r="I458" i="1"/>
  <c r="I457" i="1"/>
  <c r="I456" i="1"/>
  <c r="I455" i="1"/>
  <c r="I454" i="1"/>
  <c r="I453" i="1"/>
  <c r="I452" i="1"/>
  <c r="I451" i="1"/>
  <c r="I450" i="1"/>
  <c r="I449" i="1"/>
  <c r="I448" i="1"/>
  <c r="I447" i="1"/>
  <c r="K447" i="1" s="1"/>
  <c r="L447" i="1" s="1"/>
  <c r="I445" i="1"/>
  <c r="K445" i="1" s="1"/>
  <c r="I444" i="1"/>
  <c r="K444" i="1" s="1"/>
  <c r="I443" i="1"/>
  <c r="K443" i="1" s="1"/>
  <c r="I442" i="1"/>
  <c r="K442" i="1" s="1"/>
  <c r="I441" i="1"/>
  <c r="K441" i="1" s="1"/>
  <c r="I440" i="1"/>
  <c r="K440" i="1" s="1"/>
  <c r="I439" i="1"/>
  <c r="K439" i="1" s="1"/>
  <c r="I438" i="1"/>
  <c r="K438" i="1" s="1"/>
  <c r="I437" i="1"/>
  <c r="K437" i="1" s="1"/>
  <c r="I436" i="1"/>
  <c r="K436" i="1" s="1"/>
  <c r="I435" i="1"/>
  <c r="K435" i="1" s="1"/>
  <c r="I434" i="1"/>
  <c r="K434" i="1" s="1"/>
  <c r="I433" i="1"/>
  <c r="K433" i="1" s="1"/>
  <c r="I432" i="1"/>
  <c r="K432" i="1" s="1"/>
  <c r="I431" i="1"/>
  <c r="K431" i="1" s="1"/>
  <c r="I430" i="1"/>
  <c r="K430" i="1" s="1"/>
  <c r="I429" i="1"/>
  <c r="K429" i="1" s="1"/>
  <c r="I428" i="1"/>
  <c r="K428" i="1" s="1"/>
  <c r="I427" i="1"/>
  <c r="K427" i="1" s="1"/>
  <c r="I426" i="1"/>
  <c r="K426" i="1" s="1"/>
  <c r="I425" i="1"/>
  <c r="K425" i="1" s="1"/>
  <c r="I424" i="1"/>
  <c r="K424" i="1" s="1"/>
  <c r="I423" i="1"/>
  <c r="K423" i="1" s="1"/>
  <c r="I422" i="1"/>
  <c r="K422" i="1" s="1"/>
  <c r="I421" i="1"/>
  <c r="K421" i="1" s="1"/>
  <c r="I420" i="1"/>
  <c r="K420" i="1" s="1"/>
  <c r="I419" i="1"/>
  <c r="K419" i="1" s="1"/>
  <c r="I418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L395" i="1" s="1"/>
  <c r="J395" i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J368" i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K367" i="1"/>
  <c r="L367" i="1" s="1"/>
  <c r="J367" i="1"/>
  <c r="K364" i="1"/>
  <c r="C364" i="1"/>
  <c r="K363" i="1"/>
  <c r="C363" i="1"/>
  <c r="K362" i="1"/>
  <c r="C362" i="1"/>
  <c r="K361" i="1"/>
  <c r="C361" i="1"/>
  <c r="K360" i="1"/>
  <c r="C360" i="1"/>
  <c r="K359" i="1"/>
  <c r="C359" i="1"/>
  <c r="K358" i="1"/>
  <c r="C358" i="1"/>
  <c r="K357" i="1"/>
  <c r="C357" i="1"/>
  <c r="K356" i="1"/>
  <c r="C356" i="1"/>
  <c r="K355" i="1"/>
  <c r="C355" i="1"/>
  <c r="K354" i="1"/>
  <c r="C354" i="1"/>
  <c r="K353" i="1"/>
  <c r="C353" i="1"/>
  <c r="K352" i="1"/>
  <c r="C352" i="1"/>
  <c r="K351" i="1"/>
  <c r="C351" i="1"/>
  <c r="K350" i="1"/>
  <c r="C350" i="1"/>
  <c r="K349" i="1"/>
  <c r="C349" i="1"/>
  <c r="K348" i="1"/>
  <c r="C348" i="1"/>
  <c r="K347" i="1"/>
  <c r="C347" i="1"/>
  <c r="K346" i="1"/>
  <c r="C346" i="1"/>
  <c r="K345" i="1"/>
  <c r="C345" i="1"/>
  <c r="K344" i="1"/>
  <c r="C344" i="1"/>
  <c r="K343" i="1"/>
  <c r="C343" i="1"/>
  <c r="K342" i="1"/>
  <c r="C342" i="1"/>
  <c r="K341" i="1"/>
  <c r="C341" i="1"/>
  <c r="K340" i="1"/>
  <c r="C340" i="1"/>
  <c r="K339" i="1"/>
  <c r="L339" i="1" s="1"/>
  <c r="J339" i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C339" i="1"/>
  <c r="K337" i="1"/>
  <c r="C337" i="1"/>
  <c r="K336" i="1"/>
  <c r="C336" i="1"/>
  <c r="K335" i="1"/>
  <c r="C335" i="1"/>
  <c r="K334" i="1"/>
  <c r="C334" i="1"/>
  <c r="K333" i="1"/>
  <c r="C333" i="1"/>
  <c r="K332" i="1"/>
  <c r="C332" i="1"/>
  <c r="K331" i="1"/>
  <c r="C331" i="1"/>
  <c r="K330" i="1"/>
  <c r="C330" i="1"/>
  <c r="K329" i="1"/>
  <c r="C329" i="1"/>
  <c r="K328" i="1"/>
  <c r="C328" i="1"/>
  <c r="K327" i="1"/>
  <c r="C327" i="1"/>
  <c r="K326" i="1"/>
  <c r="C326" i="1"/>
  <c r="K325" i="1"/>
  <c r="C325" i="1"/>
  <c r="K324" i="1"/>
  <c r="C324" i="1"/>
  <c r="K323" i="1"/>
  <c r="C323" i="1"/>
  <c r="K322" i="1"/>
  <c r="C322" i="1"/>
  <c r="K321" i="1"/>
  <c r="C321" i="1"/>
  <c r="K320" i="1"/>
  <c r="C320" i="1"/>
  <c r="K319" i="1"/>
  <c r="C319" i="1"/>
  <c r="K318" i="1"/>
  <c r="C318" i="1"/>
  <c r="K317" i="1"/>
  <c r="C317" i="1"/>
  <c r="K316" i="1"/>
  <c r="C316" i="1"/>
  <c r="K315" i="1"/>
  <c r="C315" i="1"/>
  <c r="K314" i="1"/>
  <c r="C314" i="1"/>
  <c r="K313" i="1"/>
  <c r="C313" i="1"/>
  <c r="K312" i="1"/>
  <c r="L312" i="1" s="1"/>
  <c r="J312" i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C312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L295" i="1" s="1"/>
  <c r="J295" i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K293" i="1"/>
  <c r="C293" i="1"/>
  <c r="K292" i="1"/>
  <c r="C292" i="1"/>
  <c r="K291" i="1"/>
  <c r="C291" i="1"/>
  <c r="K290" i="1"/>
  <c r="C290" i="1"/>
  <c r="K289" i="1"/>
  <c r="C289" i="1"/>
  <c r="K288" i="1"/>
  <c r="C288" i="1"/>
  <c r="K287" i="1"/>
  <c r="C287" i="1"/>
  <c r="K286" i="1"/>
  <c r="C286" i="1"/>
  <c r="K285" i="1"/>
  <c r="C285" i="1"/>
  <c r="K284" i="1"/>
  <c r="C284" i="1"/>
  <c r="K283" i="1"/>
  <c r="C283" i="1"/>
  <c r="K282" i="1"/>
  <c r="C282" i="1"/>
  <c r="K281" i="1"/>
  <c r="C281" i="1"/>
  <c r="K280" i="1"/>
  <c r="C280" i="1"/>
  <c r="K279" i="1"/>
  <c r="C279" i="1"/>
  <c r="K278" i="1"/>
  <c r="C278" i="1"/>
  <c r="K277" i="1"/>
  <c r="C277" i="1"/>
  <c r="K276" i="1"/>
  <c r="C276" i="1"/>
  <c r="K275" i="1"/>
  <c r="C275" i="1"/>
  <c r="K274" i="1"/>
  <c r="C274" i="1"/>
  <c r="K273" i="1"/>
  <c r="C273" i="1"/>
  <c r="K272" i="1"/>
  <c r="C272" i="1"/>
  <c r="K271" i="1"/>
  <c r="C271" i="1"/>
  <c r="K270" i="1"/>
  <c r="C270" i="1"/>
  <c r="K269" i="1"/>
  <c r="C269" i="1"/>
  <c r="K268" i="1"/>
  <c r="C268" i="1"/>
  <c r="K267" i="1"/>
  <c r="C267" i="1"/>
  <c r="K266" i="1"/>
  <c r="C266" i="1"/>
  <c r="K265" i="1"/>
  <c r="C265" i="1"/>
  <c r="K264" i="1"/>
  <c r="C264" i="1"/>
  <c r="K263" i="1"/>
  <c r="C263" i="1"/>
  <c r="K262" i="1"/>
  <c r="C262" i="1"/>
  <c r="K261" i="1"/>
  <c r="C261" i="1"/>
  <c r="K260" i="1"/>
  <c r="C260" i="1"/>
  <c r="K259" i="1"/>
  <c r="C259" i="1"/>
  <c r="K258" i="1"/>
  <c r="C258" i="1"/>
  <c r="K257" i="1"/>
  <c r="J257" i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C257" i="1"/>
  <c r="K256" i="1"/>
  <c r="L256" i="1" s="1"/>
  <c r="C256" i="1"/>
  <c r="K253" i="1"/>
  <c r="D253" i="1"/>
  <c r="C253" i="1"/>
  <c r="K252" i="1"/>
  <c r="D252" i="1"/>
  <c r="C252" i="1"/>
  <c r="K251" i="1"/>
  <c r="D251" i="1"/>
  <c r="C251" i="1"/>
  <c r="K250" i="1"/>
  <c r="D250" i="1"/>
  <c r="C250" i="1"/>
  <c r="K249" i="1"/>
  <c r="D249" i="1"/>
  <c r="C249" i="1"/>
  <c r="K248" i="1"/>
  <c r="D248" i="1"/>
  <c r="C248" i="1"/>
  <c r="K247" i="1"/>
  <c r="D247" i="1"/>
  <c r="C247" i="1"/>
  <c r="K246" i="1"/>
  <c r="L246" i="1" s="1"/>
  <c r="J246" i="1"/>
  <c r="J247" i="1" s="1"/>
  <c r="J248" i="1" s="1"/>
  <c r="J249" i="1" s="1"/>
  <c r="J250" i="1" s="1"/>
  <c r="J251" i="1" s="1"/>
  <c r="J252" i="1" s="1"/>
  <c r="J253" i="1" s="1"/>
  <c r="D246" i="1"/>
  <c r="C246" i="1"/>
  <c r="K243" i="1"/>
  <c r="D243" i="1"/>
  <c r="C243" i="1"/>
  <c r="K242" i="1"/>
  <c r="D242" i="1"/>
  <c r="C242" i="1"/>
  <c r="K241" i="1"/>
  <c r="D241" i="1"/>
  <c r="C241" i="1"/>
  <c r="K240" i="1"/>
  <c r="D240" i="1"/>
  <c r="C240" i="1"/>
  <c r="K239" i="1"/>
  <c r="D239" i="1"/>
  <c r="C239" i="1"/>
  <c r="K238" i="1"/>
  <c r="D238" i="1"/>
  <c r="C238" i="1"/>
  <c r="K237" i="1"/>
  <c r="D237" i="1"/>
  <c r="C237" i="1"/>
  <c r="K236" i="1"/>
  <c r="D236" i="1"/>
  <c r="C236" i="1"/>
  <c r="K235" i="1"/>
  <c r="D235" i="1"/>
  <c r="C235" i="1"/>
  <c r="K234" i="1"/>
  <c r="D234" i="1"/>
  <c r="C234" i="1"/>
  <c r="K233" i="1"/>
  <c r="D233" i="1"/>
  <c r="C233" i="1"/>
  <c r="K232" i="1"/>
  <c r="D232" i="1"/>
  <c r="C232" i="1"/>
  <c r="K231" i="1"/>
  <c r="D231" i="1"/>
  <c r="C231" i="1"/>
  <c r="K230" i="1"/>
  <c r="D230" i="1"/>
  <c r="C230" i="1"/>
  <c r="K229" i="1"/>
  <c r="D229" i="1"/>
  <c r="C229" i="1"/>
  <c r="K228" i="1"/>
  <c r="D228" i="1"/>
  <c r="C228" i="1"/>
  <c r="K227" i="1"/>
  <c r="D227" i="1"/>
  <c r="C227" i="1"/>
  <c r="K226" i="1"/>
  <c r="D226" i="1"/>
  <c r="C226" i="1"/>
  <c r="K225" i="1"/>
  <c r="D225" i="1"/>
  <c r="C225" i="1"/>
  <c r="K224" i="1"/>
  <c r="D224" i="1"/>
  <c r="C224" i="1"/>
  <c r="K223" i="1"/>
  <c r="D223" i="1"/>
  <c r="C223" i="1"/>
  <c r="K222" i="1"/>
  <c r="D222" i="1"/>
  <c r="C222" i="1"/>
  <c r="K221" i="1"/>
  <c r="D221" i="1"/>
  <c r="C221" i="1"/>
  <c r="K220" i="1"/>
  <c r="D220" i="1"/>
  <c r="C220" i="1"/>
  <c r="K219" i="1"/>
  <c r="D219" i="1"/>
  <c r="C219" i="1"/>
  <c r="K218" i="1"/>
  <c r="D218" i="1"/>
  <c r="C218" i="1"/>
  <c r="K217" i="1"/>
  <c r="D217" i="1"/>
  <c r="C217" i="1"/>
  <c r="K216" i="1"/>
  <c r="D216" i="1"/>
  <c r="C216" i="1"/>
  <c r="K215" i="1"/>
  <c r="D215" i="1"/>
  <c r="C215" i="1"/>
  <c r="K214" i="1"/>
  <c r="D214" i="1"/>
  <c r="C214" i="1"/>
  <c r="K213" i="1"/>
  <c r="D213" i="1"/>
  <c r="C213" i="1"/>
  <c r="K212" i="1"/>
  <c r="D212" i="1"/>
  <c r="C212" i="1"/>
  <c r="K211" i="1"/>
  <c r="D211" i="1"/>
  <c r="C211" i="1"/>
  <c r="K210" i="1"/>
  <c r="D210" i="1"/>
  <c r="C210" i="1"/>
  <c r="K209" i="1"/>
  <c r="D209" i="1"/>
  <c r="C209" i="1"/>
  <c r="K208" i="1"/>
  <c r="D208" i="1"/>
  <c r="C208" i="1"/>
  <c r="K207" i="1"/>
  <c r="L207" i="1" s="1"/>
  <c r="J207" i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D207" i="1"/>
  <c r="C207" i="1"/>
  <c r="K205" i="1"/>
  <c r="G205" i="1"/>
  <c r="D205" i="1"/>
  <c r="C205" i="1"/>
  <c r="K204" i="1"/>
  <c r="G204" i="1"/>
  <c r="D204" i="1"/>
  <c r="C204" i="1"/>
  <c r="K203" i="1"/>
  <c r="G203" i="1"/>
  <c r="D203" i="1"/>
  <c r="C203" i="1"/>
  <c r="K202" i="1"/>
  <c r="G202" i="1"/>
  <c r="D202" i="1"/>
  <c r="C202" i="1"/>
  <c r="K201" i="1"/>
  <c r="G201" i="1"/>
  <c r="D201" i="1"/>
  <c r="C201" i="1"/>
  <c r="K200" i="1"/>
  <c r="G200" i="1"/>
  <c r="D200" i="1"/>
  <c r="C200" i="1"/>
  <c r="K199" i="1"/>
  <c r="G199" i="1"/>
  <c r="D199" i="1"/>
  <c r="C199" i="1"/>
  <c r="K198" i="1"/>
  <c r="G198" i="1"/>
  <c r="D198" i="1"/>
  <c r="C198" i="1"/>
  <c r="K197" i="1"/>
  <c r="G197" i="1"/>
  <c r="D197" i="1"/>
  <c r="C197" i="1"/>
  <c r="K196" i="1"/>
  <c r="G196" i="1"/>
  <c r="D196" i="1"/>
  <c r="C196" i="1"/>
  <c r="K195" i="1"/>
  <c r="G195" i="1"/>
  <c r="D195" i="1"/>
  <c r="C195" i="1"/>
  <c r="K194" i="1"/>
  <c r="G194" i="1"/>
  <c r="D194" i="1"/>
  <c r="C194" i="1"/>
  <c r="K193" i="1"/>
  <c r="G193" i="1"/>
  <c r="D193" i="1"/>
  <c r="C193" i="1"/>
  <c r="K192" i="1"/>
  <c r="G192" i="1"/>
  <c r="D192" i="1"/>
  <c r="C192" i="1"/>
  <c r="K191" i="1"/>
  <c r="G191" i="1"/>
  <c r="D191" i="1"/>
  <c r="C191" i="1"/>
  <c r="I190" i="1"/>
  <c r="H190" i="1"/>
  <c r="G190" i="1"/>
  <c r="D190" i="1"/>
  <c r="C190" i="1"/>
  <c r="K189" i="1"/>
  <c r="G189" i="1"/>
  <c r="D189" i="1"/>
  <c r="C189" i="1"/>
  <c r="K188" i="1"/>
  <c r="G188" i="1"/>
  <c r="D188" i="1"/>
  <c r="C188" i="1"/>
  <c r="K187" i="1"/>
  <c r="G187" i="1"/>
  <c r="D187" i="1"/>
  <c r="C187" i="1"/>
  <c r="K186" i="1"/>
  <c r="L186" i="1" s="1"/>
  <c r="J186" i="1"/>
  <c r="J187" i="1" s="1"/>
  <c r="J188" i="1" s="1"/>
  <c r="J189" i="1" s="1"/>
  <c r="G186" i="1"/>
  <c r="D186" i="1"/>
  <c r="C186" i="1"/>
  <c r="K184" i="1"/>
  <c r="H184" i="1"/>
  <c r="D184" i="1"/>
  <c r="C184" i="1"/>
  <c r="K183" i="1"/>
  <c r="H183" i="1"/>
  <c r="D183" i="1"/>
  <c r="C183" i="1"/>
  <c r="K182" i="1"/>
  <c r="H182" i="1"/>
  <c r="D182" i="1"/>
  <c r="C182" i="1"/>
  <c r="K181" i="1"/>
  <c r="K180" i="1"/>
  <c r="H180" i="1"/>
  <c r="D180" i="1"/>
  <c r="C180" i="1"/>
  <c r="K179" i="1"/>
  <c r="K178" i="1"/>
  <c r="H178" i="1"/>
  <c r="D178" i="1"/>
  <c r="C178" i="1"/>
  <c r="K177" i="1"/>
  <c r="I176" i="1"/>
  <c r="H176" i="1"/>
  <c r="D176" i="1"/>
  <c r="C176" i="1"/>
  <c r="K175" i="1"/>
  <c r="I174" i="1"/>
  <c r="H174" i="1"/>
  <c r="D174" i="1"/>
  <c r="C174" i="1"/>
  <c r="K173" i="1"/>
  <c r="I172" i="1"/>
  <c r="H172" i="1"/>
  <c r="D172" i="1"/>
  <c r="C172" i="1"/>
  <c r="K171" i="1"/>
  <c r="H171" i="1"/>
  <c r="D171" i="1"/>
  <c r="C171" i="1"/>
  <c r="K170" i="1"/>
  <c r="H170" i="1"/>
  <c r="D170" i="1"/>
  <c r="C170" i="1"/>
  <c r="K169" i="1"/>
  <c r="I168" i="1"/>
  <c r="H168" i="1"/>
  <c r="D168" i="1"/>
  <c r="C168" i="1"/>
  <c r="K167" i="1"/>
  <c r="I166" i="1"/>
  <c r="H166" i="1"/>
  <c r="D166" i="1"/>
  <c r="C166" i="1"/>
  <c r="K165" i="1"/>
  <c r="I164" i="1"/>
  <c r="H164" i="1"/>
  <c r="D164" i="1"/>
  <c r="C164" i="1"/>
  <c r="K163" i="1"/>
  <c r="I162" i="1"/>
  <c r="H162" i="1"/>
  <c r="D162" i="1"/>
  <c r="C162" i="1"/>
  <c r="K161" i="1"/>
  <c r="I160" i="1"/>
  <c r="H160" i="1"/>
  <c r="D160" i="1"/>
  <c r="C160" i="1"/>
  <c r="K159" i="1"/>
  <c r="H159" i="1"/>
  <c r="D159" i="1"/>
  <c r="C159" i="1"/>
  <c r="K158" i="1"/>
  <c r="H158" i="1"/>
  <c r="D158" i="1"/>
  <c r="C158" i="1"/>
  <c r="K157" i="1"/>
  <c r="I156" i="1"/>
  <c r="H156" i="1"/>
  <c r="D156" i="1"/>
  <c r="C156" i="1"/>
  <c r="K155" i="1"/>
  <c r="I154" i="1"/>
  <c r="H154" i="1"/>
  <c r="D154" i="1"/>
  <c r="C154" i="1"/>
  <c r="K153" i="1"/>
  <c r="I152" i="1"/>
  <c r="H152" i="1"/>
  <c r="D152" i="1"/>
  <c r="C152" i="1"/>
  <c r="K151" i="1"/>
  <c r="I150" i="1"/>
  <c r="H150" i="1"/>
  <c r="D150" i="1"/>
  <c r="C150" i="1"/>
  <c r="K149" i="1"/>
  <c r="I148" i="1"/>
  <c r="H148" i="1"/>
  <c r="D148" i="1"/>
  <c r="C148" i="1"/>
  <c r="K147" i="1"/>
  <c r="H147" i="1"/>
  <c r="D147" i="1"/>
  <c r="C147" i="1"/>
  <c r="K146" i="1"/>
  <c r="H146" i="1"/>
  <c r="D146" i="1"/>
  <c r="C146" i="1"/>
  <c r="K145" i="1"/>
  <c r="I144" i="1"/>
  <c r="H144" i="1"/>
  <c r="D144" i="1"/>
  <c r="C144" i="1"/>
  <c r="K143" i="1"/>
  <c r="I142" i="1"/>
  <c r="H142" i="1"/>
  <c r="D142" i="1"/>
  <c r="C142" i="1"/>
  <c r="K139" i="1"/>
  <c r="H139" i="1"/>
  <c r="D139" i="1"/>
  <c r="C139" i="1"/>
  <c r="K138" i="1"/>
  <c r="H138" i="1"/>
  <c r="D138" i="1"/>
  <c r="C138" i="1"/>
  <c r="K137" i="1"/>
  <c r="H137" i="1"/>
  <c r="D137" i="1"/>
  <c r="C137" i="1"/>
  <c r="K136" i="1"/>
  <c r="H136" i="1"/>
  <c r="D136" i="1"/>
  <c r="C136" i="1"/>
  <c r="K135" i="1"/>
  <c r="H135" i="1"/>
  <c r="D135" i="1"/>
  <c r="K134" i="1"/>
  <c r="K133" i="1"/>
  <c r="K132" i="1"/>
  <c r="D132" i="1"/>
  <c r="K131" i="1"/>
  <c r="D131" i="1"/>
  <c r="K130" i="1"/>
  <c r="H130" i="1"/>
  <c r="D130" i="1"/>
  <c r="K129" i="1"/>
  <c r="H129" i="1"/>
  <c r="D129" i="1"/>
  <c r="C129" i="1"/>
  <c r="K128" i="1"/>
  <c r="H128" i="1"/>
  <c r="D128" i="1"/>
  <c r="C128" i="1"/>
  <c r="K127" i="1"/>
  <c r="H127" i="1"/>
  <c r="D127" i="1"/>
  <c r="C127" i="1"/>
  <c r="K126" i="1"/>
  <c r="H126" i="1"/>
  <c r="D126" i="1"/>
  <c r="C126" i="1"/>
  <c r="K125" i="1"/>
  <c r="H125" i="1"/>
  <c r="D125" i="1"/>
  <c r="C125" i="1"/>
  <c r="K124" i="1"/>
  <c r="H124" i="1"/>
  <c r="D124" i="1"/>
  <c r="C124" i="1"/>
  <c r="K123" i="1"/>
  <c r="H123" i="1"/>
  <c r="D123" i="1"/>
  <c r="K122" i="1"/>
  <c r="H122" i="1"/>
  <c r="D122" i="1"/>
  <c r="K121" i="1"/>
  <c r="H121" i="1"/>
  <c r="D121" i="1"/>
  <c r="C121" i="1"/>
  <c r="K120" i="1"/>
  <c r="H120" i="1"/>
  <c r="D120" i="1"/>
  <c r="K119" i="1"/>
  <c r="H119" i="1"/>
  <c r="D119" i="1"/>
  <c r="K118" i="1"/>
  <c r="H118" i="1"/>
  <c r="D118" i="1"/>
  <c r="C118" i="1"/>
  <c r="K117" i="1"/>
  <c r="H117" i="1"/>
  <c r="D117" i="1"/>
  <c r="C117" i="1"/>
  <c r="K116" i="1"/>
  <c r="H116" i="1"/>
  <c r="D116" i="1"/>
  <c r="C116" i="1"/>
  <c r="K115" i="1"/>
  <c r="H115" i="1"/>
  <c r="D115" i="1"/>
  <c r="C115" i="1"/>
  <c r="K114" i="1"/>
  <c r="H114" i="1"/>
  <c r="D114" i="1"/>
  <c r="C114" i="1"/>
  <c r="K113" i="1"/>
  <c r="H113" i="1"/>
  <c r="D113" i="1"/>
  <c r="K112" i="1"/>
  <c r="H112" i="1"/>
  <c r="D112" i="1"/>
  <c r="K111" i="1"/>
  <c r="L111" i="1" s="1"/>
  <c r="J111" i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H111" i="1"/>
  <c r="D111" i="1"/>
  <c r="C111" i="1"/>
  <c r="K108" i="1"/>
  <c r="H108" i="1"/>
  <c r="D108" i="1"/>
  <c r="C108" i="1"/>
  <c r="K107" i="1"/>
  <c r="H107" i="1"/>
  <c r="D107" i="1"/>
  <c r="C107" i="1"/>
  <c r="K106" i="1"/>
  <c r="H106" i="1"/>
  <c r="D106" i="1"/>
  <c r="C106" i="1"/>
  <c r="K105" i="1"/>
  <c r="H105" i="1"/>
  <c r="D105" i="1"/>
  <c r="C105" i="1"/>
  <c r="K104" i="1"/>
  <c r="H104" i="1"/>
  <c r="D104" i="1"/>
  <c r="C104" i="1"/>
  <c r="K103" i="1"/>
  <c r="H103" i="1"/>
  <c r="D103" i="1"/>
  <c r="C103" i="1"/>
  <c r="K102" i="1"/>
  <c r="H102" i="1"/>
  <c r="D102" i="1"/>
  <c r="C102" i="1"/>
  <c r="K101" i="1"/>
  <c r="H101" i="1"/>
  <c r="D101" i="1"/>
  <c r="C101" i="1"/>
  <c r="K100" i="1"/>
  <c r="H100" i="1"/>
  <c r="D100" i="1"/>
  <c r="C100" i="1"/>
  <c r="K99" i="1"/>
  <c r="H99" i="1"/>
  <c r="D99" i="1"/>
  <c r="C99" i="1"/>
  <c r="K98" i="1"/>
  <c r="H98" i="1"/>
  <c r="D98" i="1"/>
  <c r="C98" i="1"/>
  <c r="K97" i="1"/>
  <c r="H97" i="1"/>
  <c r="D97" i="1"/>
  <c r="C97" i="1"/>
  <c r="K96" i="1"/>
  <c r="H96" i="1"/>
  <c r="D96" i="1"/>
  <c r="C96" i="1"/>
  <c r="K95" i="1"/>
  <c r="H95" i="1"/>
  <c r="D95" i="1"/>
  <c r="C95" i="1"/>
  <c r="K94" i="1"/>
  <c r="H94" i="1"/>
  <c r="D94" i="1"/>
  <c r="C94" i="1"/>
  <c r="K93" i="1"/>
  <c r="H93" i="1"/>
  <c r="D93" i="1"/>
  <c r="C93" i="1"/>
  <c r="K92" i="1"/>
  <c r="H92" i="1"/>
  <c r="D92" i="1"/>
  <c r="C92" i="1"/>
  <c r="K91" i="1"/>
  <c r="H91" i="1"/>
  <c r="D91" i="1"/>
  <c r="C91" i="1"/>
  <c r="K90" i="1"/>
  <c r="H90" i="1"/>
  <c r="D90" i="1"/>
  <c r="C90" i="1"/>
  <c r="K89" i="1"/>
  <c r="H89" i="1"/>
  <c r="D89" i="1"/>
  <c r="C89" i="1"/>
  <c r="K88" i="1"/>
  <c r="H88" i="1"/>
  <c r="D88" i="1"/>
  <c r="C88" i="1"/>
  <c r="K87" i="1"/>
  <c r="H87" i="1"/>
  <c r="D87" i="1"/>
  <c r="C87" i="1"/>
  <c r="K86" i="1"/>
  <c r="H86" i="1"/>
  <c r="D86" i="1"/>
  <c r="C86" i="1"/>
  <c r="K85" i="1"/>
  <c r="H85" i="1"/>
  <c r="D85" i="1"/>
  <c r="C85" i="1"/>
  <c r="K84" i="1"/>
  <c r="H84" i="1"/>
  <c r="D84" i="1"/>
  <c r="C84" i="1"/>
  <c r="K83" i="1"/>
  <c r="H83" i="1"/>
  <c r="D83" i="1"/>
  <c r="C83" i="1"/>
  <c r="K82" i="1"/>
  <c r="H82" i="1"/>
  <c r="D82" i="1"/>
  <c r="C82" i="1"/>
  <c r="K81" i="1"/>
  <c r="H81" i="1"/>
  <c r="D81" i="1"/>
  <c r="C81" i="1"/>
  <c r="K80" i="1"/>
  <c r="H80" i="1"/>
  <c r="D80" i="1"/>
  <c r="C80" i="1"/>
  <c r="K79" i="1"/>
  <c r="H79" i="1"/>
  <c r="D79" i="1"/>
  <c r="C79" i="1"/>
  <c r="K78" i="1"/>
  <c r="H78" i="1"/>
  <c r="D78" i="1"/>
  <c r="C78" i="1"/>
  <c r="K77" i="1"/>
  <c r="H77" i="1"/>
  <c r="D77" i="1"/>
  <c r="C77" i="1"/>
  <c r="K76" i="1"/>
  <c r="H76" i="1"/>
  <c r="D76" i="1"/>
  <c r="C76" i="1"/>
  <c r="K75" i="1"/>
  <c r="H75" i="1"/>
  <c r="D75" i="1"/>
  <c r="C75" i="1"/>
  <c r="K74" i="1"/>
  <c r="H74" i="1"/>
  <c r="D74" i="1"/>
  <c r="C74" i="1"/>
  <c r="K73" i="1"/>
  <c r="H73" i="1"/>
  <c r="D73" i="1"/>
  <c r="C73" i="1"/>
  <c r="K72" i="1"/>
  <c r="H72" i="1"/>
  <c r="D72" i="1"/>
  <c r="C72" i="1"/>
  <c r="K71" i="1"/>
  <c r="H71" i="1"/>
  <c r="D71" i="1"/>
  <c r="C71" i="1"/>
  <c r="K70" i="1"/>
  <c r="L70" i="1" s="1"/>
  <c r="J70" i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H70" i="1"/>
  <c r="D70" i="1"/>
  <c r="C70" i="1"/>
  <c r="I68" i="1"/>
  <c r="C68" i="1"/>
  <c r="I67" i="1"/>
  <c r="C67" i="1"/>
  <c r="K66" i="1"/>
  <c r="H66" i="1"/>
  <c r="C66" i="1"/>
  <c r="I65" i="1"/>
  <c r="C65" i="1"/>
  <c r="K64" i="1"/>
  <c r="H64" i="1"/>
  <c r="C64" i="1"/>
  <c r="I63" i="1"/>
  <c r="C63" i="1"/>
  <c r="I62" i="1"/>
  <c r="C62" i="1"/>
  <c r="I61" i="1"/>
  <c r="C61" i="1"/>
  <c r="K60" i="1"/>
  <c r="H60" i="1"/>
  <c r="C60" i="1"/>
  <c r="K59" i="1"/>
  <c r="C59" i="1"/>
  <c r="K58" i="1"/>
  <c r="C58" i="1"/>
  <c r="K57" i="1"/>
  <c r="H57" i="1"/>
  <c r="C57" i="1"/>
  <c r="K56" i="1"/>
  <c r="H56" i="1"/>
  <c r="C56" i="1"/>
  <c r="I55" i="1"/>
  <c r="C55" i="1"/>
  <c r="K54" i="1"/>
  <c r="H54" i="1"/>
  <c r="C54" i="1"/>
  <c r="K53" i="1"/>
  <c r="H53" i="1"/>
  <c r="C53" i="1"/>
  <c r="K52" i="1"/>
  <c r="H52" i="1"/>
  <c r="C52" i="1"/>
  <c r="K51" i="1"/>
  <c r="H51" i="1"/>
  <c r="C51" i="1"/>
  <c r="K50" i="1"/>
  <c r="H50" i="1"/>
  <c r="C50" i="1"/>
  <c r="K49" i="1"/>
  <c r="H49" i="1"/>
  <c r="C49" i="1"/>
  <c r="I48" i="1"/>
  <c r="C48" i="1"/>
  <c r="I47" i="1"/>
  <c r="C47" i="1"/>
  <c r="K46" i="1"/>
  <c r="H46" i="1"/>
  <c r="C46" i="1"/>
  <c r="K45" i="1"/>
  <c r="C45" i="1"/>
  <c r="K44" i="1"/>
  <c r="C44" i="1"/>
  <c r="K43" i="1"/>
  <c r="H43" i="1"/>
  <c r="C43" i="1"/>
  <c r="K42" i="1"/>
  <c r="H42" i="1"/>
  <c r="C42" i="1"/>
  <c r="K41" i="1"/>
  <c r="H41" i="1"/>
  <c r="C41" i="1"/>
  <c r="K40" i="1"/>
  <c r="H40" i="1"/>
  <c r="C40" i="1"/>
  <c r="I39" i="1"/>
  <c r="C39" i="1"/>
  <c r="I38" i="1"/>
  <c r="I37" i="1"/>
  <c r="I34" i="1"/>
  <c r="C34" i="1"/>
  <c r="I33" i="1"/>
  <c r="C33" i="1"/>
  <c r="K32" i="1"/>
  <c r="C32" i="1"/>
  <c r="I31" i="1"/>
  <c r="C31" i="1"/>
  <c r="I30" i="1"/>
  <c r="C30" i="1"/>
  <c r="I29" i="1"/>
  <c r="C29" i="1"/>
  <c r="I28" i="1"/>
  <c r="C28" i="1"/>
  <c r="I27" i="1"/>
  <c r="C27" i="1"/>
  <c r="I26" i="1"/>
  <c r="C26" i="1"/>
  <c r="I25" i="1"/>
  <c r="C25" i="1"/>
  <c r="I24" i="1"/>
  <c r="C24" i="1"/>
  <c r="I23" i="1"/>
  <c r="C23" i="1"/>
  <c r="I22" i="1"/>
  <c r="C22" i="1"/>
  <c r="I21" i="1"/>
  <c r="C21" i="1"/>
  <c r="I20" i="1"/>
  <c r="C20" i="1"/>
  <c r="I19" i="1"/>
  <c r="C19" i="1"/>
  <c r="I18" i="1"/>
  <c r="C18" i="1"/>
  <c r="I17" i="1"/>
  <c r="C17" i="1"/>
  <c r="I16" i="1"/>
  <c r="C16" i="1"/>
  <c r="I15" i="1"/>
  <c r="C15" i="1"/>
  <c r="K14" i="1"/>
  <c r="C14" i="1"/>
  <c r="K13" i="1"/>
  <c r="C13" i="1"/>
  <c r="I12" i="1"/>
  <c r="C12" i="1"/>
  <c r="I11" i="1"/>
  <c r="C11" i="1"/>
  <c r="I10" i="1"/>
  <c r="C10" i="1"/>
  <c r="I9" i="1"/>
  <c r="C9" i="1"/>
  <c r="I8" i="1"/>
  <c r="C8" i="1"/>
  <c r="I7" i="1"/>
  <c r="C7" i="1"/>
  <c r="I6" i="1"/>
  <c r="C6" i="1"/>
  <c r="I5" i="1"/>
  <c r="C5" i="1"/>
  <c r="I4" i="1"/>
  <c r="C4" i="1"/>
  <c r="I3" i="1"/>
  <c r="I2" i="1"/>
  <c r="K2" i="1" l="1"/>
  <c r="L2" i="1" s="1"/>
  <c r="J2" i="1"/>
  <c r="K3" i="1"/>
  <c r="L3" i="1" s="1"/>
  <c r="J3" i="1"/>
  <c r="K4" i="1"/>
  <c r="L4" i="1" s="1"/>
  <c r="J4" i="1"/>
  <c r="K5" i="1"/>
  <c r="L5" i="1" s="1"/>
  <c r="J5" i="1"/>
  <c r="K6" i="1"/>
  <c r="L6" i="1" s="1"/>
  <c r="J6" i="1"/>
  <c r="K7" i="1"/>
  <c r="L7" i="1" s="1"/>
  <c r="J7" i="1"/>
  <c r="K8" i="1"/>
  <c r="L8" i="1" s="1"/>
  <c r="J8" i="1"/>
  <c r="K9" i="1"/>
  <c r="L9" i="1" s="1"/>
  <c r="J9" i="1"/>
  <c r="K10" i="1"/>
  <c r="L10" i="1" s="1"/>
  <c r="J10" i="1"/>
  <c r="K11" i="1"/>
  <c r="L11" i="1" s="1"/>
  <c r="J11" i="1"/>
  <c r="K12" i="1"/>
  <c r="L12" i="1" s="1"/>
  <c r="J12" i="1"/>
  <c r="J13" i="1" s="1"/>
  <c r="J14" i="1" s="1"/>
  <c r="L13" i="1"/>
  <c r="L14" i="1"/>
  <c r="K15" i="1"/>
  <c r="L15" i="1" s="1"/>
  <c r="J15" i="1"/>
  <c r="K16" i="1"/>
  <c r="L16" i="1" s="1"/>
  <c r="J16" i="1"/>
  <c r="K17" i="1"/>
  <c r="L17" i="1" s="1"/>
  <c r="J17" i="1"/>
  <c r="K18" i="1"/>
  <c r="L18" i="1" s="1"/>
  <c r="J18" i="1"/>
  <c r="K19" i="1"/>
  <c r="L19" i="1" s="1"/>
  <c r="J19" i="1"/>
  <c r="K20" i="1"/>
  <c r="L20" i="1" s="1"/>
  <c r="J20" i="1"/>
  <c r="K21" i="1"/>
  <c r="L21" i="1" s="1"/>
  <c r="J21" i="1"/>
  <c r="K22" i="1"/>
  <c r="L22" i="1" s="1"/>
  <c r="J22" i="1"/>
  <c r="K23" i="1"/>
  <c r="L23" i="1" s="1"/>
  <c r="J23" i="1"/>
  <c r="K24" i="1"/>
  <c r="L24" i="1" s="1"/>
  <c r="J24" i="1"/>
  <c r="K25" i="1"/>
  <c r="L25" i="1" s="1"/>
  <c r="J25" i="1"/>
  <c r="K26" i="1"/>
  <c r="L26" i="1" s="1"/>
  <c r="J26" i="1"/>
  <c r="K27" i="1"/>
  <c r="L27" i="1" s="1"/>
  <c r="J27" i="1"/>
  <c r="K28" i="1"/>
  <c r="L28" i="1" s="1"/>
  <c r="J28" i="1"/>
  <c r="K29" i="1"/>
  <c r="L29" i="1" s="1"/>
  <c r="J29" i="1"/>
  <c r="K30" i="1"/>
  <c r="L30" i="1" s="1"/>
  <c r="J30" i="1"/>
  <c r="K31" i="1"/>
  <c r="L31" i="1" s="1"/>
  <c r="J31" i="1"/>
  <c r="J32" i="1" s="1"/>
  <c r="L32" i="1"/>
  <c r="K33" i="1"/>
  <c r="L33" i="1" s="1"/>
  <c r="J33" i="1"/>
  <c r="K34" i="1"/>
  <c r="L34" i="1" s="1"/>
  <c r="J34" i="1"/>
  <c r="K37" i="1"/>
  <c r="L37" i="1" s="1"/>
  <c r="J37" i="1"/>
  <c r="K38" i="1"/>
  <c r="L38" i="1" s="1"/>
  <c r="J38" i="1"/>
  <c r="K39" i="1"/>
  <c r="L39" i="1" s="1"/>
  <c r="J39" i="1"/>
  <c r="J40" i="1" s="1"/>
  <c r="J41" i="1" s="1"/>
  <c r="J42" i="1" s="1"/>
  <c r="J43" i="1" s="1"/>
  <c r="J44" i="1" s="1"/>
  <c r="J45" i="1" s="1"/>
  <c r="J46" i="1" s="1"/>
  <c r="L40" i="1"/>
  <c r="L41" i="1"/>
  <c r="L42" i="1"/>
  <c r="L43" i="1"/>
  <c r="L44" i="1"/>
  <c r="L45" i="1"/>
  <c r="L46" i="1"/>
  <c r="K47" i="1"/>
  <c r="L47" i="1" s="1"/>
  <c r="J47" i="1"/>
  <c r="K48" i="1"/>
  <c r="L48" i="1" s="1"/>
  <c r="J48" i="1"/>
  <c r="J49" i="1" s="1"/>
  <c r="J50" i="1" s="1"/>
  <c r="J51" i="1" s="1"/>
  <c r="J52" i="1" s="1"/>
  <c r="J53" i="1" s="1"/>
  <c r="J54" i="1" s="1"/>
  <c r="L49" i="1"/>
  <c r="L50" i="1"/>
  <c r="L51" i="1"/>
  <c r="L52" i="1"/>
  <c r="L53" i="1"/>
  <c r="L54" i="1"/>
  <c r="K55" i="1"/>
  <c r="L55" i="1" s="1"/>
  <c r="J55" i="1"/>
  <c r="J56" i="1" s="1"/>
  <c r="J57" i="1" s="1"/>
  <c r="J58" i="1" s="1"/>
  <c r="J59" i="1" s="1"/>
  <c r="J60" i="1" s="1"/>
  <c r="L56" i="1"/>
  <c r="L57" i="1"/>
  <c r="L58" i="1"/>
  <c r="L59" i="1"/>
  <c r="L60" i="1"/>
  <c r="K61" i="1"/>
  <c r="L61" i="1" s="1"/>
  <c r="J61" i="1"/>
  <c r="K62" i="1"/>
  <c r="L62" i="1" s="1"/>
  <c r="J62" i="1"/>
  <c r="K63" i="1"/>
  <c r="L63" i="1" s="1"/>
  <c r="J63" i="1"/>
  <c r="J64" i="1" s="1"/>
  <c r="L64" i="1"/>
  <c r="K65" i="1"/>
  <c r="L65" i="1" s="1"/>
  <c r="J65" i="1"/>
  <c r="J66" i="1" s="1"/>
  <c r="L66" i="1"/>
  <c r="K67" i="1"/>
  <c r="L67" i="1" s="1"/>
  <c r="J67" i="1"/>
  <c r="K68" i="1"/>
  <c r="L68" i="1" s="1"/>
  <c r="J68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J134" i="1"/>
  <c r="J135" i="1" s="1"/>
  <c r="J136" i="1" s="1"/>
  <c r="J137" i="1" s="1"/>
  <c r="J138" i="1" s="1"/>
  <c r="J139" i="1" s="1"/>
  <c r="J133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K142" i="1"/>
  <c r="L142" i="1" s="1"/>
  <c r="J142" i="1"/>
  <c r="J143" i="1" s="1"/>
  <c r="L143" i="1"/>
  <c r="K144" i="1"/>
  <c r="L144" i="1" s="1"/>
  <c r="J144" i="1"/>
  <c r="J145" i="1" s="1"/>
  <c r="J146" i="1" s="1"/>
  <c r="J147" i="1" s="1"/>
  <c r="L145" i="1"/>
  <c r="L146" i="1"/>
  <c r="L147" i="1"/>
  <c r="K148" i="1"/>
  <c r="L148" i="1" s="1"/>
  <c r="J148" i="1"/>
  <c r="J149" i="1" s="1"/>
  <c r="L149" i="1"/>
  <c r="K150" i="1"/>
  <c r="L150" i="1" s="1"/>
  <c r="J150" i="1"/>
  <c r="J151" i="1" s="1"/>
  <c r="L151" i="1"/>
  <c r="K152" i="1"/>
  <c r="L152" i="1" s="1"/>
  <c r="J152" i="1"/>
  <c r="J153" i="1" s="1"/>
  <c r="L153" i="1"/>
  <c r="K154" i="1"/>
  <c r="L154" i="1" s="1"/>
  <c r="J154" i="1"/>
  <c r="J155" i="1" s="1"/>
  <c r="L155" i="1"/>
  <c r="K156" i="1"/>
  <c r="L156" i="1" s="1"/>
  <c r="J156" i="1"/>
  <c r="J157" i="1" s="1"/>
  <c r="J158" i="1" s="1"/>
  <c r="J159" i="1" s="1"/>
  <c r="L157" i="1"/>
  <c r="L158" i="1"/>
  <c r="L159" i="1"/>
  <c r="K160" i="1"/>
  <c r="L160" i="1" s="1"/>
  <c r="J160" i="1"/>
  <c r="J161" i="1" s="1"/>
  <c r="L161" i="1"/>
  <c r="K162" i="1"/>
  <c r="L162" i="1" s="1"/>
  <c r="J162" i="1"/>
  <c r="J163" i="1" s="1"/>
  <c r="L163" i="1"/>
  <c r="K164" i="1"/>
  <c r="L164" i="1" s="1"/>
  <c r="J164" i="1"/>
  <c r="J165" i="1" s="1"/>
  <c r="L165" i="1"/>
  <c r="K166" i="1"/>
  <c r="L166" i="1" s="1"/>
  <c r="J166" i="1"/>
  <c r="J167" i="1" s="1"/>
  <c r="L167" i="1"/>
  <c r="K168" i="1"/>
  <c r="L168" i="1" s="1"/>
  <c r="J168" i="1"/>
  <c r="J169" i="1" s="1"/>
  <c r="J170" i="1" s="1"/>
  <c r="J171" i="1" s="1"/>
  <c r="L169" i="1"/>
  <c r="L170" i="1"/>
  <c r="L171" i="1"/>
  <c r="K172" i="1"/>
  <c r="L172" i="1" s="1"/>
  <c r="J172" i="1"/>
  <c r="J173" i="1" s="1"/>
  <c r="L173" i="1"/>
  <c r="K174" i="1"/>
  <c r="L174" i="1" s="1"/>
  <c r="J174" i="1"/>
  <c r="J175" i="1" s="1"/>
  <c r="L175" i="1"/>
  <c r="K176" i="1"/>
  <c r="L176" i="1" s="1"/>
  <c r="J176" i="1"/>
  <c r="J177" i="1" s="1"/>
  <c r="J178" i="1" s="1"/>
  <c r="J179" i="1" s="1"/>
  <c r="J180" i="1" s="1"/>
  <c r="J181" i="1" s="1"/>
  <c r="J182" i="1" s="1"/>
  <c r="J183" i="1" s="1"/>
  <c r="J184" i="1" s="1"/>
  <c r="L177" i="1"/>
  <c r="L178" i="1"/>
  <c r="L179" i="1"/>
  <c r="L180" i="1"/>
  <c r="L181" i="1"/>
  <c r="L182" i="1"/>
  <c r="L183" i="1"/>
  <c r="L184" i="1"/>
  <c r="L187" i="1"/>
  <c r="L188" i="1"/>
  <c r="L189" i="1"/>
  <c r="K190" i="1"/>
  <c r="L190" i="1" s="1"/>
  <c r="J190" i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7" i="1"/>
  <c r="L248" i="1"/>
  <c r="L249" i="1"/>
  <c r="L250" i="1"/>
  <c r="L251" i="1"/>
  <c r="L252" i="1"/>
  <c r="L253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K418" i="1"/>
  <c r="L418" i="1" s="1"/>
  <c r="J418" i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K448" i="1"/>
  <c r="L448" i="1" s="1"/>
  <c r="J448" i="1"/>
  <c r="K449" i="1"/>
  <c r="L449" i="1" s="1"/>
  <c r="J449" i="1"/>
  <c r="K450" i="1"/>
  <c r="L450" i="1" s="1"/>
  <c r="J450" i="1"/>
  <c r="K451" i="1"/>
  <c r="L451" i="1" s="1"/>
  <c r="J451" i="1"/>
  <c r="K452" i="1"/>
  <c r="L452" i="1" s="1"/>
  <c r="J452" i="1"/>
  <c r="K453" i="1"/>
  <c r="L453" i="1" s="1"/>
  <c r="J453" i="1"/>
  <c r="K454" i="1"/>
  <c r="L454" i="1" s="1"/>
  <c r="J454" i="1"/>
  <c r="K455" i="1"/>
  <c r="L455" i="1" s="1"/>
  <c r="J455" i="1"/>
  <c r="K456" i="1"/>
  <c r="L456" i="1" s="1"/>
  <c r="J456" i="1"/>
  <c r="K457" i="1"/>
  <c r="L457" i="1" s="1"/>
  <c r="J457" i="1"/>
  <c r="K458" i="1"/>
  <c r="L458" i="1" s="1"/>
  <c r="J458" i="1"/>
  <c r="J459" i="1" s="1"/>
  <c r="L45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 MARTELLA &amp; SONS</author>
    <author>Me</author>
    <author>Martella</author>
    <author>Coolroom</author>
  </authors>
  <commentList>
    <comment ref="C1" authorId="0" shapeId="0" xr:uid="{A559EE3B-AB7C-4703-8A03-66438B13056E}">
      <text>
        <r>
          <rPr>
            <b/>
            <sz val="8"/>
            <color indexed="81"/>
            <rFont val="Tahoma"/>
            <family val="2"/>
          </rPr>
          <t>with the counts on each line see notes page for start point of rows and lines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0" authorId="1" shapeId="0" xr:uid="{634E4FF2-A0F4-4F1F-86F8-0AB82197BF7E}">
      <text>
        <r>
          <rPr>
            <b/>
            <sz val="8"/>
            <color indexed="81"/>
            <rFont val="Tahoma"/>
            <family val="2"/>
          </rPr>
          <t>Average row width first 16 rows = 4.69 metres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20" authorId="2" shapeId="0" xr:uid="{1657C5D1-AA75-42E5-A533-8CD20F369F46}">
      <text>
        <r>
          <rPr>
            <b/>
            <sz val="9"/>
            <color indexed="81"/>
            <rFont val="Tahoma"/>
            <family val="2"/>
          </rPr>
          <t>Grafts</t>
        </r>
      </text>
    </comment>
    <comment ref="E122" authorId="2" shapeId="0" xr:uid="{FABE8671-9771-4E2B-89E1-C12FE0FFC114}">
      <text>
        <r>
          <rPr>
            <sz val="9"/>
            <color indexed="81"/>
            <rFont val="Tahoma"/>
            <family val="2"/>
          </rPr>
          <t xml:space="preserve">Grafts
</t>
        </r>
      </text>
    </comment>
    <comment ref="E123" authorId="2" shapeId="0" xr:uid="{2D24E4F6-3574-4918-A265-372184B2F722}">
      <text>
        <r>
          <rPr>
            <sz val="9"/>
            <color indexed="81"/>
            <rFont val="Tahoma"/>
            <family val="2"/>
          </rPr>
          <t xml:space="preserve">Grafts
</t>
        </r>
      </text>
    </comment>
    <comment ref="E130" authorId="2" shapeId="0" xr:uid="{DE9FF021-9FA5-44E6-A91E-FE67C2C5CF82}">
      <text>
        <r>
          <rPr>
            <b/>
            <sz val="9"/>
            <color indexed="81"/>
            <rFont val="Tahoma"/>
            <family val="2"/>
          </rPr>
          <t>Grafts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1" authorId="2" shapeId="0" xr:uid="{90503485-DB0D-421B-B0F4-3D44AD1C81B2}">
      <text>
        <r>
          <rPr>
            <sz val="9"/>
            <color indexed="81"/>
            <rFont val="Tahoma"/>
            <family val="2"/>
          </rPr>
          <t xml:space="preserve">Grafts
</t>
        </r>
      </text>
    </comment>
    <comment ref="E132" authorId="2" shapeId="0" xr:uid="{44269267-C899-41AB-8A3F-F4045356DF25}">
      <text>
        <r>
          <rPr>
            <sz val="9"/>
            <color indexed="81"/>
            <rFont val="Tahoma"/>
            <family val="2"/>
          </rPr>
          <t xml:space="preserve">Grafts
</t>
        </r>
      </text>
    </comment>
    <comment ref="A182" authorId="3" shapeId="0" xr:uid="{3E845F8F-1204-42CA-9082-A601E47AEF40}">
      <text>
        <r>
          <rPr>
            <b/>
            <sz val="9"/>
            <color indexed="81"/>
            <rFont val="Tahoma"/>
            <family val="2"/>
          </rPr>
          <t>Coolroom: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86" authorId="1" shapeId="0" xr:uid="{F8F8554B-1256-486B-879E-6F9747C5DCD0}">
      <text>
        <r>
          <rPr>
            <b/>
            <sz val="8"/>
            <color indexed="81"/>
            <rFont val="Tahoma"/>
            <family val="2"/>
          </rPr>
          <t>Row # 1 starts by Shed Pear block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89" authorId="1" shapeId="0" xr:uid="{E651B26C-2FE9-4674-9B4B-F8A6E4BB31A1}">
      <text>
        <r>
          <rPr>
            <b/>
            <sz val="8"/>
            <color indexed="81"/>
            <rFont val="Tahoma"/>
            <family val="2"/>
          </rPr>
          <t xml:space="preserve">North end of row planted with Pink Lady trees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07" authorId="1" shapeId="0" xr:uid="{635576AA-EABE-4391-97E8-22C91812D190}">
      <text>
        <r>
          <rPr>
            <sz val="9"/>
            <color indexed="81"/>
            <rFont val="Times New Roman"/>
            <family val="1"/>
          </rPr>
          <t>1 tree every 14 trees is a granny smith on mm109 r/stock, this is pollinator only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<sst xmlns="http://schemas.openxmlformats.org/spreadsheetml/2006/main" count="970" uniqueCount="58">
  <si>
    <t>BLOCK</t>
  </si>
  <si>
    <t>ROW No</t>
  </si>
  <si>
    <t>VARIETY</t>
  </si>
  <si>
    <t>R/S</t>
  </si>
  <si>
    <t>Planting Year</t>
  </si>
  <si>
    <t>row width</t>
  </si>
  <si>
    <t xml:space="preserve">tree width </t>
  </si>
  <si>
    <t>Tree No</t>
  </si>
  <si>
    <t>Row Length (m)</t>
  </si>
  <si>
    <t>cumm length (m)</t>
  </si>
  <si>
    <r>
      <t>area   (m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)</t>
    </r>
  </si>
  <si>
    <t>Cumm Area (Ha)</t>
  </si>
  <si>
    <t>S/Shed</t>
  </si>
  <si>
    <t>Gala</t>
  </si>
  <si>
    <t>97</t>
  </si>
  <si>
    <t>90</t>
  </si>
  <si>
    <t>06</t>
  </si>
  <si>
    <t>Smll/Dam</t>
  </si>
  <si>
    <t>GS/PL Trellis</t>
  </si>
  <si>
    <t>01</t>
  </si>
  <si>
    <t>96</t>
  </si>
  <si>
    <t xml:space="preserve"> </t>
  </si>
  <si>
    <t>Cherries</t>
  </si>
  <si>
    <t>87</t>
  </si>
  <si>
    <t>Rain</t>
  </si>
  <si>
    <t>Van</t>
  </si>
  <si>
    <t>Chelan</t>
  </si>
  <si>
    <t>Mazzard</t>
  </si>
  <si>
    <t xml:space="preserve">    </t>
  </si>
  <si>
    <t>WB-G-GS</t>
  </si>
  <si>
    <t>Galaval</t>
  </si>
  <si>
    <t>00</t>
  </si>
  <si>
    <t>99</t>
  </si>
  <si>
    <t>WIS PL/GS</t>
  </si>
  <si>
    <t>02</t>
  </si>
  <si>
    <t>ROB DWARF PL</t>
  </si>
  <si>
    <t>04</t>
  </si>
  <si>
    <t>STK- Pink Belle</t>
  </si>
  <si>
    <t>11</t>
  </si>
  <si>
    <t>Bravo 14</t>
  </si>
  <si>
    <t>M26</t>
  </si>
  <si>
    <t>Bravo 13</t>
  </si>
  <si>
    <t>Bravo 15</t>
  </si>
  <si>
    <t>CHERRY BRAVO</t>
  </si>
  <si>
    <t>BRAVO</t>
  </si>
  <si>
    <t>MODI 1</t>
  </si>
  <si>
    <t>M9</t>
  </si>
  <si>
    <t>MODI 2</t>
  </si>
  <si>
    <t>Lady In Red</t>
  </si>
  <si>
    <t>Lady In Red 2019</t>
  </si>
  <si>
    <t>Stk Yd LIR</t>
  </si>
  <si>
    <t>JM7</t>
  </si>
  <si>
    <t>JM1</t>
  </si>
  <si>
    <t>CG202</t>
  </si>
  <si>
    <t>G1</t>
  </si>
  <si>
    <t>NIC 29</t>
  </si>
  <si>
    <t>Stk Yd GS</t>
  </si>
  <si>
    <t>Granny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</si>
</sst>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18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sz val="12"/>
      <color indexed="56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1" fillId="0" borderId="0" xfId="0" applyNumberFormat="1" applyFont="1" applyAlignment="1">
      <alignment horizontal="center" wrapText="1"/>
    </xf>
    <xf numFmtId="1" fontId="1" fillId="0" borderId="0" xfId="0" applyNumberFormat="1" applyFont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3" fontId="3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7" fillId="0" borderId="0" xfId="0" applyFont="1"/>
    <xf numFmtId="3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  <xf numFmtId="0" fontId="4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5" fontId="0" fillId="0" borderId="1" xfId="0" applyNumberFormat="1" applyBorder="1"/>
    <xf numFmtId="0" fontId="8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  <xf numFmtId="0" fontId="0" fillId="0" borderId="1" xfId="0" applyBorder="1"/>
    <xf numFmtId="167" fontId="0" fillId="0" borderId="1" xfId="0" applyNumberFormat="1" applyBorder="1" applyAlignment="1">
      <alignment horizontal="center"/>
    </xf>
    <xf numFmtId="3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3" fillId="0" borderId="0" xfId="0" applyFont="1"/>
    <xf numFmtId="0" fontId="3" fillId="0" borderId="0" xfId="0" applyFont="1" applyAlignment="1">
      <alignment horizontal="center"/>
    </xf>
    <xf numFmtId="4" fontId="0" fillId="0" borderId="0" xfId="0" applyNumberFormat="1"/>
    <xf numFmtId="2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farm_master\block%20data.xls" TargetMode="External"/><Relationship Id="rId1" Type="http://schemas.openxmlformats.org/officeDocument/2006/relationships/externalLinkPath" Target="block%20dat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"/>
      <sheetName val="Notes"/>
      <sheetName val="Trial Trees"/>
      <sheetName val="key drivers"/>
      <sheetName val="summary"/>
      <sheetName val="BLOCK STATS."/>
      <sheetName val="SUMMary BLOCK SIZES"/>
      <sheetName val="Sumary with tree No"/>
      <sheetName val="GSPL TREL IRR"/>
      <sheetName val="example"/>
      <sheetName val="GalaVal"/>
      <sheetName val="W-Bravo Grafts"/>
    </sheetNames>
    <sheetDataSet>
      <sheetData sheetId="0" refreshError="1"/>
      <sheetData sheetId="1" refreshError="1"/>
      <sheetData sheetId="2" refreshError="1"/>
      <sheetData sheetId="3">
        <row r="20">
          <cell r="A20" t="str">
            <v>P/L</v>
          </cell>
          <cell r="F20">
            <v>104</v>
          </cell>
        </row>
        <row r="21">
          <cell r="A21" t="str">
            <v>S/D</v>
          </cell>
          <cell r="F21">
            <v>106</v>
          </cell>
        </row>
        <row r="22">
          <cell r="A22" t="str">
            <v>06 P/L</v>
          </cell>
          <cell r="F22">
            <v>109</v>
          </cell>
        </row>
        <row r="23">
          <cell r="A23" t="str">
            <v>G/S</v>
          </cell>
        </row>
        <row r="24">
          <cell r="F24" t="str">
            <v>109/M26</v>
          </cell>
        </row>
        <row r="25">
          <cell r="F25" t="str">
            <v>109/spur P/L</v>
          </cell>
        </row>
        <row r="26">
          <cell r="A26" t="str">
            <v>Bravo</v>
          </cell>
        </row>
        <row r="27">
          <cell r="A27" t="str">
            <v>Modi</v>
          </cell>
        </row>
        <row r="62">
          <cell r="F62" t="str">
            <v>Mazzard</v>
          </cell>
        </row>
        <row r="69">
          <cell r="A69" t="str">
            <v>Rain</v>
          </cell>
        </row>
        <row r="71">
          <cell r="A71" t="str">
            <v>Van</v>
          </cell>
        </row>
        <row r="75">
          <cell r="A75" t="str">
            <v>Lap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CCF58-2674-4228-B841-F9CFE1B3DCC0}">
  <dimension ref="A1:L459"/>
  <sheetViews>
    <sheetView tabSelected="1" workbookViewId="0">
      <selection activeCell="O12" sqref="O12"/>
    </sheetView>
  </sheetViews>
  <sheetFormatPr defaultRowHeight="15" x14ac:dyDescent="0.25"/>
  <sheetData>
    <row r="1" spans="1:12" ht="39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2" t="s">
        <v>11</v>
      </c>
    </row>
    <row r="2" spans="1:12" x14ac:dyDescent="0.25">
      <c r="A2" s="5" t="s">
        <v>12</v>
      </c>
      <c r="B2" s="6">
        <v>1</v>
      </c>
      <c r="C2" s="5" t="s">
        <v>13</v>
      </c>
      <c r="D2" s="7">
        <v>104</v>
      </c>
      <c r="E2" s="8">
        <v>2017</v>
      </c>
      <c r="F2" s="6">
        <v>5</v>
      </c>
      <c r="G2" s="6">
        <v>0.52</v>
      </c>
      <c r="H2" s="7">
        <v>338</v>
      </c>
      <c r="I2" s="9">
        <f>H2*G2</f>
        <v>175.76000000000002</v>
      </c>
      <c r="J2" s="9">
        <f>I2</f>
        <v>175.76000000000002</v>
      </c>
      <c r="K2" s="10">
        <f t="shared" ref="K2:K65" si="0">F2*I2</f>
        <v>878.80000000000007</v>
      </c>
      <c r="L2" s="11">
        <f>K2/10000</f>
        <v>8.7880000000000014E-2</v>
      </c>
    </row>
    <row r="3" spans="1:12" x14ac:dyDescent="0.25">
      <c r="A3" s="5" t="s">
        <v>12</v>
      </c>
      <c r="B3" s="6">
        <v>2</v>
      </c>
      <c r="C3" s="5" t="s">
        <v>13</v>
      </c>
      <c r="D3" s="7">
        <v>104</v>
      </c>
      <c r="E3" s="8">
        <v>2017</v>
      </c>
      <c r="F3" s="6">
        <v>5</v>
      </c>
      <c r="G3" s="6">
        <v>0.52</v>
      </c>
      <c r="H3" s="7">
        <v>330</v>
      </c>
      <c r="I3" s="9">
        <f t="shared" ref="I3:I34" si="1">H3*G3</f>
        <v>171.6</v>
      </c>
      <c r="J3" s="9">
        <f>I3+J2</f>
        <v>347.36</v>
      </c>
      <c r="K3" s="10">
        <f t="shared" si="0"/>
        <v>858</v>
      </c>
      <c r="L3" s="11">
        <f>K3/10000+L2</f>
        <v>0.17368</v>
      </c>
    </row>
    <row r="4" spans="1:12" x14ac:dyDescent="0.25">
      <c r="A4" s="5" t="s">
        <v>12</v>
      </c>
      <c r="B4" s="12">
        <v>2</v>
      </c>
      <c r="C4" s="6" t="str">
        <f>'[1]key drivers'!A$20</f>
        <v>P/L</v>
      </c>
      <c r="D4" s="7">
        <v>109</v>
      </c>
      <c r="E4" s="13" t="s">
        <v>14</v>
      </c>
      <c r="F4" s="6">
        <v>5</v>
      </c>
      <c r="G4" s="6">
        <v>2</v>
      </c>
      <c r="H4" s="7">
        <v>9</v>
      </c>
      <c r="I4" s="9">
        <f t="shared" si="1"/>
        <v>18</v>
      </c>
      <c r="J4" s="9">
        <f t="shared" ref="J4:J34" si="2">I4+J3</f>
        <v>365.36</v>
      </c>
      <c r="K4" s="10">
        <f t="shared" si="0"/>
        <v>90</v>
      </c>
      <c r="L4" s="11">
        <f t="shared" ref="L4:L34" si="3">K4/10000+L3</f>
        <v>0.18268000000000001</v>
      </c>
    </row>
    <row r="5" spans="1:12" x14ac:dyDescent="0.25">
      <c r="A5" s="5" t="s">
        <v>12</v>
      </c>
      <c r="B5" s="6">
        <v>3</v>
      </c>
      <c r="C5" s="6" t="str">
        <f>'[1]key drivers'!A$20</f>
        <v>P/L</v>
      </c>
      <c r="D5" s="7">
        <v>109</v>
      </c>
      <c r="E5" s="8" t="s">
        <v>15</v>
      </c>
      <c r="F5" s="6">
        <v>5</v>
      </c>
      <c r="G5" s="6">
        <v>2.4900000000000002</v>
      </c>
      <c r="H5" s="7">
        <v>74</v>
      </c>
      <c r="I5" s="9">
        <f t="shared" si="1"/>
        <v>184.26000000000002</v>
      </c>
      <c r="J5" s="9">
        <f t="shared" si="2"/>
        <v>549.62</v>
      </c>
      <c r="K5" s="10">
        <f t="shared" si="0"/>
        <v>921.30000000000007</v>
      </c>
      <c r="L5" s="11">
        <f t="shared" si="3"/>
        <v>0.27481</v>
      </c>
    </row>
    <row r="6" spans="1:12" x14ac:dyDescent="0.25">
      <c r="A6" s="5" t="s">
        <v>12</v>
      </c>
      <c r="B6" s="12">
        <v>3</v>
      </c>
      <c r="C6" s="6" t="str">
        <f>'[1]key drivers'!A$20</f>
        <v>P/L</v>
      </c>
      <c r="D6" s="7">
        <v>109</v>
      </c>
      <c r="E6" s="13" t="s">
        <v>14</v>
      </c>
      <c r="F6" s="6">
        <v>5</v>
      </c>
      <c r="G6" s="6">
        <v>2</v>
      </c>
      <c r="H6" s="7">
        <v>12</v>
      </c>
      <c r="I6" s="9">
        <f t="shared" si="1"/>
        <v>24</v>
      </c>
      <c r="J6" s="9">
        <f t="shared" si="2"/>
        <v>573.62</v>
      </c>
      <c r="K6" s="10">
        <f t="shared" si="0"/>
        <v>120</v>
      </c>
      <c r="L6" s="11">
        <f t="shared" si="3"/>
        <v>0.28681000000000001</v>
      </c>
    </row>
    <row r="7" spans="1:12" x14ac:dyDescent="0.25">
      <c r="A7" s="5" t="s">
        <v>12</v>
      </c>
      <c r="B7" s="6">
        <v>4</v>
      </c>
      <c r="C7" s="6" t="str">
        <f>'[1]key drivers'!A$20</f>
        <v>P/L</v>
      </c>
      <c r="D7" s="7">
        <v>109</v>
      </c>
      <c r="E7" s="8" t="s">
        <v>15</v>
      </c>
      <c r="F7" s="6">
        <v>5</v>
      </c>
      <c r="G7" s="6">
        <v>2.4900000000000002</v>
      </c>
      <c r="H7" s="7">
        <v>71</v>
      </c>
      <c r="I7" s="9">
        <f t="shared" si="1"/>
        <v>176.79000000000002</v>
      </c>
      <c r="J7" s="9">
        <f t="shared" si="2"/>
        <v>750.41000000000008</v>
      </c>
      <c r="K7" s="10">
        <f t="shared" si="0"/>
        <v>883.95</v>
      </c>
      <c r="L7" s="11">
        <f t="shared" si="3"/>
        <v>0.37520500000000001</v>
      </c>
    </row>
    <row r="8" spans="1:12" x14ac:dyDescent="0.25">
      <c r="A8" s="5" t="s">
        <v>12</v>
      </c>
      <c r="B8" s="12">
        <v>4</v>
      </c>
      <c r="C8" s="6" t="str">
        <f>'[1]key drivers'!A$20</f>
        <v>P/L</v>
      </c>
      <c r="D8" s="7">
        <v>109</v>
      </c>
      <c r="E8" s="13" t="s">
        <v>14</v>
      </c>
      <c r="F8" s="6">
        <v>5</v>
      </c>
      <c r="G8" s="6">
        <v>2</v>
      </c>
      <c r="H8" s="7">
        <v>22</v>
      </c>
      <c r="I8" s="9">
        <f t="shared" si="1"/>
        <v>44</v>
      </c>
      <c r="J8" s="9">
        <f t="shared" si="2"/>
        <v>794.41000000000008</v>
      </c>
      <c r="K8" s="10">
        <f t="shared" si="0"/>
        <v>220</v>
      </c>
      <c r="L8" s="11">
        <f t="shared" si="3"/>
        <v>0.39720500000000003</v>
      </c>
    </row>
    <row r="9" spans="1:12" x14ac:dyDescent="0.25">
      <c r="A9" s="5" t="s">
        <v>12</v>
      </c>
      <c r="B9" s="6">
        <v>5</v>
      </c>
      <c r="C9" s="6" t="str">
        <f>'[1]key drivers'!A$21</f>
        <v>S/D</v>
      </c>
      <c r="D9" s="7">
        <v>109</v>
      </c>
      <c r="E9" s="8" t="s">
        <v>15</v>
      </c>
      <c r="F9" s="6">
        <v>5</v>
      </c>
      <c r="G9" s="6">
        <v>2</v>
      </c>
      <c r="H9" s="7">
        <v>86</v>
      </c>
      <c r="I9" s="9">
        <f t="shared" si="1"/>
        <v>172</v>
      </c>
      <c r="J9" s="9">
        <f t="shared" si="2"/>
        <v>966.41000000000008</v>
      </c>
      <c r="K9" s="10">
        <f t="shared" si="0"/>
        <v>860</v>
      </c>
      <c r="L9" s="11">
        <f t="shared" si="3"/>
        <v>0.483205</v>
      </c>
    </row>
    <row r="10" spans="1:12" x14ac:dyDescent="0.25">
      <c r="A10" s="5" t="s">
        <v>12</v>
      </c>
      <c r="B10" s="12">
        <v>5</v>
      </c>
      <c r="C10" s="6" t="str">
        <f>'[1]key drivers'!A$20</f>
        <v>P/L</v>
      </c>
      <c r="D10" s="7">
        <v>109</v>
      </c>
      <c r="E10" s="13" t="s">
        <v>14</v>
      </c>
      <c r="F10" s="6">
        <v>5</v>
      </c>
      <c r="G10" s="6">
        <v>2</v>
      </c>
      <c r="H10" s="7">
        <v>22</v>
      </c>
      <c r="I10" s="9">
        <f t="shared" si="1"/>
        <v>44</v>
      </c>
      <c r="J10" s="9">
        <f t="shared" si="2"/>
        <v>1010.4100000000001</v>
      </c>
      <c r="K10" s="10">
        <f t="shared" si="0"/>
        <v>220</v>
      </c>
      <c r="L10" s="11">
        <f t="shared" si="3"/>
        <v>0.50520500000000002</v>
      </c>
    </row>
    <row r="11" spans="1:12" x14ac:dyDescent="0.25">
      <c r="A11" s="5" t="s">
        <v>12</v>
      </c>
      <c r="B11" s="6">
        <v>6</v>
      </c>
      <c r="C11" s="6" t="str">
        <f>'[1]key drivers'!A$21</f>
        <v>S/D</v>
      </c>
      <c r="D11" s="7">
        <v>109</v>
      </c>
      <c r="E11" s="8" t="s">
        <v>15</v>
      </c>
      <c r="F11" s="6">
        <v>5</v>
      </c>
      <c r="G11" s="6">
        <v>2</v>
      </c>
      <c r="H11" s="7">
        <v>84</v>
      </c>
      <c r="I11" s="9">
        <f t="shared" si="1"/>
        <v>168</v>
      </c>
      <c r="J11" s="9">
        <f t="shared" si="2"/>
        <v>1178.4100000000001</v>
      </c>
      <c r="K11" s="10">
        <f t="shared" si="0"/>
        <v>840</v>
      </c>
      <c r="L11" s="11">
        <f t="shared" si="3"/>
        <v>0.58920499999999998</v>
      </c>
    </row>
    <row r="12" spans="1:12" x14ac:dyDescent="0.25">
      <c r="A12" s="5" t="s">
        <v>12</v>
      </c>
      <c r="B12" s="12">
        <v>6</v>
      </c>
      <c r="C12" s="6" t="str">
        <f>'[1]key drivers'!A$20</f>
        <v>P/L</v>
      </c>
      <c r="D12" s="7">
        <v>109</v>
      </c>
      <c r="E12" s="13" t="s">
        <v>14</v>
      </c>
      <c r="F12" s="6">
        <v>5</v>
      </c>
      <c r="G12" s="6">
        <v>2</v>
      </c>
      <c r="H12" s="7">
        <v>23</v>
      </c>
      <c r="I12" s="9">
        <f t="shared" si="1"/>
        <v>46</v>
      </c>
      <c r="J12" s="9">
        <f t="shared" si="2"/>
        <v>1224.4100000000001</v>
      </c>
      <c r="K12" s="10">
        <f t="shared" si="0"/>
        <v>230</v>
      </c>
      <c r="L12" s="11">
        <f t="shared" si="3"/>
        <v>0.612205</v>
      </c>
    </row>
    <row r="13" spans="1:12" x14ac:dyDescent="0.25">
      <c r="A13" s="5" t="s">
        <v>12</v>
      </c>
      <c r="B13" s="14">
        <v>7</v>
      </c>
      <c r="C13" s="6" t="str">
        <f>'[1]key drivers'!$A$22</f>
        <v>06 P/L</v>
      </c>
      <c r="D13" s="7">
        <v>106</v>
      </c>
      <c r="E13" s="15" t="s">
        <v>16</v>
      </c>
      <c r="F13" s="6">
        <v>5</v>
      </c>
      <c r="G13" s="6">
        <v>2</v>
      </c>
      <c r="H13" s="7">
        <v>104</v>
      </c>
      <c r="I13" s="9">
        <v>215</v>
      </c>
      <c r="J13" s="9">
        <f t="shared" si="2"/>
        <v>1439.41</v>
      </c>
      <c r="K13" s="10">
        <f t="shared" si="0"/>
        <v>1075</v>
      </c>
      <c r="L13" s="11">
        <f t="shared" si="3"/>
        <v>0.71970500000000004</v>
      </c>
    </row>
    <row r="14" spans="1:12" x14ac:dyDescent="0.25">
      <c r="A14" s="5" t="s">
        <v>12</v>
      </c>
      <c r="B14" s="14">
        <v>8</v>
      </c>
      <c r="C14" s="6" t="str">
        <f>'[1]key drivers'!$A$22</f>
        <v>06 P/L</v>
      </c>
      <c r="D14" s="7">
        <v>106</v>
      </c>
      <c r="E14" s="15" t="s">
        <v>16</v>
      </c>
      <c r="F14" s="6">
        <v>5</v>
      </c>
      <c r="G14" s="6">
        <v>2</v>
      </c>
      <c r="H14" s="7">
        <v>102</v>
      </c>
      <c r="I14" s="9">
        <v>215</v>
      </c>
      <c r="J14" s="9">
        <f t="shared" si="2"/>
        <v>1654.41</v>
      </c>
      <c r="K14" s="10">
        <f t="shared" si="0"/>
        <v>1075</v>
      </c>
      <c r="L14" s="11">
        <f t="shared" si="3"/>
        <v>0.82720500000000008</v>
      </c>
    </row>
    <row r="15" spans="1:12" x14ac:dyDescent="0.25">
      <c r="A15" s="5" t="s">
        <v>12</v>
      </c>
      <c r="B15" s="6">
        <v>9</v>
      </c>
      <c r="C15" s="6" t="str">
        <f>'[1]key drivers'!A$20</f>
        <v>P/L</v>
      </c>
      <c r="D15" s="7">
        <v>109</v>
      </c>
      <c r="E15" s="8" t="s">
        <v>15</v>
      </c>
      <c r="F15" s="6">
        <v>5</v>
      </c>
      <c r="G15" s="6">
        <v>2.4900000000000002</v>
      </c>
      <c r="H15" s="7">
        <v>65</v>
      </c>
      <c r="I15" s="9">
        <f t="shared" si="1"/>
        <v>161.85000000000002</v>
      </c>
      <c r="J15" s="9">
        <f t="shared" si="2"/>
        <v>1816.2600000000002</v>
      </c>
      <c r="K15" s="10">
        <f t="shared" si="0"/>
        <v>809.25000000000011</v>
      </c>
      <c r="L15" s="11">
        <f t="shared" si="3"/>
        <v>0.9081300000000001</v>
      </c>
    </row>
    <row r="16" spans="1:12" x14ac:dyDescent="0.25">
      <c r="A16" s="5" t="s">
        <v>12</v>
      </c>
      <c r="B16" s="6">
        <v>9</v>
      </c>
      <c r="C16" s="6" t="str">
        <f>'[1]key drivers'!A$20</f>
        <v>P/L</v>
      </c>
      <c r="D16" s="7">
        <v>109</v>
      </c>
      <c r="E16" s="8" t="s">
        <v>14</v>
      </c>
      <c r="F16" s="6">
        <v>5</v>
      </c>
      <c r="G16" s="6">
        <v>2</v>
      </c>
      <c r="H16" s="7">
        <v>22</v>
      </c>
      <c r="I16" s="9">
        <f t="shared" si="1"/>
        <v>44</v>
      </c>
      <c r="J16" s="9">
        <f t="shared" si="2"/>
        <v>1860.2600000000002</v>
      </c>
      <c r="K16" s="10">
        <f t="shared" si="0"/>
        <v>220</v>
      </c>
      <c r="L16" s="11">
        <f t="shared" si="3"/>
        <v>0.93013000000000012</v>
      </c>
    </row>
    <row r="17" spans="1:12" x14ac:dyDescent="0.25">
      <c r="A17" s="5" t="s">
        <v>12</v>
      </c>
      <c r="B17" s="6">
        <v>10</v>
      </c>
      <c r="C17" s="6" t="str">
        <f>'[1]key drivers'!A$20</f>
        <v>P/L</v>
      </c>
      <c r="D17" s="7">
        <v>109</v>
      </c>
      <c r="E17" s="8" t="s">
        <v>15</v>
      </c>
      <c r="F17" s="6">
        <v>5</v>
      </c>
      <c r="G17" s="6">
        <v>2.4900000000000002</v>
      </c>
      <c r="H17" s="7">
        <v>70</v>
      </c>
      <c r="I17" s="9">
        <f t="shared" si="1"/>
        <v>174.3</v>
      </c>
      <c r="J17" s="9">
        <f t="shared" si="2"/>
        <v>2034.5600000000002</v>
      </c>
      <c r="K17" s="10">
        <f t="shared" si="0"/>
        <v>871.5</v>
      </c>
      <c r="L17" s="11">
        <f t="shared" si="3"/>
        <v>1.0172800000000002</v>
      </c>
    </row>
    <row r="18" spans="1:12" x14ac:dyDescent="0.25">
      <c r="A18" s="5" t="s">
        <v>12</v>
      </c>
      <c r="B18" s="6">
        <v>10</v>
      </c>
      <c r="C18" s="6" t="str">
        <f>'[1]key drivers'!A$20</f>
        <v>P/L</v>
      </c>
      <c r="D18" s="7">
        <v>109</v>
      </c>
      <c r="E18" s="8" t="s">
        <v>14</v>
      </c>
      <c r="F18" s="6">
        <v>5</v>
      </c>
      <c r="G18" s="6">
        <v>2</v>
      </c>
      <c r="H18" s="7">
        <v>22</v>
      </c>
      <c r="I18" s="9">
        <f t="shared" si="1"/>
        <v>44</v>
      </c>
      <c r="J18" s="9">
        <f t="shared" si="2"/>
        <v>2078.5600000000004</v>
      </c>
      <c r="K18" s="10">
        <f t="shared" si="0"/>
        <v>220</v>
      </c>
      <c r="L18" s="11">
        <f t="shared" si="3"/>
        <v>1.0392800000000002</v>
      </c>
    </row>
    <row r="19" spans="1:12" x14ac:dyDescent="0.25">
      <c r="A19" s="5" t="s">
        <v>12</v>
      </c>
      <c r="B19" s="6">
        <v>11</v>
      </c>
      <c r="C19" s="6" t="str">
        <f>'[1]key drivers'!A$21</f>
        <v>S/D</v>
      </c>
      <c r="D19" s="7">
        <v>109</v>
      </c>
      <c r="E19" s="8" t="s">
        <v>15</v>
      </c>
      <c r="F19" s="6">
        <v>5</v>
      </c>
      <c r="G19" s="6">
        <v>2</v>
      </c>
      <c r="H19" s="7">
        <v>87</v>
      </c>
      <c r="I19" s="9">
        <f t="shared" si="1"/>
        <v>174</v>
      </c>
      <c r="J19" s="9">
        <f t="shared" si="2"/>
        <v>2252.5600000000004</v>
      </c>
      <c r="K19" s="10">
        <f t="shared" si="0"/>
        <v>870</v>
      </c>
      <c r="L19" s="11">
        <f t="shared" si="3"/>
        <v>1.1262800000000002</v>
      </c>
    </row>
    <row r="20" spans="1:12" x14ac:dyDescent="0.25">
      <c r="A20" s="5" t="s">
        <v>12</v>
      </c>
      <c r="B20" s="6">
        <v>11</v>
      </c>
      <c r="C20" s="6" t="str">
        <f>'[1]key drivers'!A$20</f>
        <v>P/L</v>
      </c>
      <c r="D20" s="7">
        <v>109</v>
      </c>
      <c r="E20" s="8" t="s">
        <v>14</v>
      </c>
      <c r="F20" s="6">
        <v>5</v>
      </c>
      <c r="G20" s="6">
        <v>2</v>
      </c>
      <c r="H20" s="7">
        <v>22</v>
      </c>
      <c r="I20" s="9">
        <f t="shared" si="1"/>
        <v>44</v>
      </c>
      <c r="J20" s="9">
        <f t="shared" si="2"/>
        <v>2296.5600000000004</v>
      </c>
      <c r="K20" s="10">
        <f t="shared" si="0"/>
        <v>220</v>
      </c>
      <c r="L20" s="11">
        <f t="shared" si="3"/>
        <v>1.1482800000000002</v>
      </c>
    </row>
    <row r="21" spans="1:12" x14ac:dyDescent="0.25">
      <c r="A21" s="5" t="s">
        <v>12</v>
      </c>
      <c r="B21" s="6">
        <v>12</v>
      </c>
      <c r="C21" s="6" t="str">
        <f>'[1]key drivers'!A$21</f>
        <v>S/D</v>
      </c>
      <c r="D21" s="7">
        <v>109</v>
      </c>
      <c r="E21" s="8" t="s">
        <v>15</v>
      </c>
      <c r="F21" s="6">
        <v>5</v>
      </c>
      <c r="G21" s="6">
        <v>2</v>
      </c>
      <c r="H21" s="7">
        <v>83</v>
      </c>
      <c r="I21" s="9">
        <f t="shared" si="1"/>
        <v>166</v>
      </c>
      <c r="J21" s="9">
        <f t="shared" si="2"/>
        <v>2462.5600000000004</v>
      </c>
      <c r="K21" s="10">
        <f t="shared" si="0"/>
        <v>830</v>
      </c>
      <c r="L21" s="11">
        <f t="shared" si="3"/>
        <v>1.2312800000000002</v>
      </c>
    </row>
    <row r="22" spans="1:12" x14ac:dyDescent="0.25">
      <c r="A22" s="5" t="s">
        <v>12</v>
      </c>
      <c r="B22" s="6">
        <v>12</v>
      </c>
      <c r="C22" s="6" t="str">
        <f>'[1]key drivers'!A$20</f>
        <v>P/L</v>
      </c>
      <c r="D22" s="7">
        <v>109</v>
      </c>
      <c r="E22" s="8" t="s">
        <v>14</v>
      </c>
      <c r="F22" s="6">
        <v>5</v>
      </c>
      <c r="G22" s="6">
        <v>2</v>
      </c>
      <c r="H22" s="7">
        <v>22</v>
      </c>
      <c r="I22" s="9">
        <f t="shared" si="1"/>
        <v>44</v>
      </c>
      <c r="J22" s="9">
        <f t="shared" si="2"/>
        <v>2506.5600000000004</v>
      </c>
      <c r="K22" s="10">
        <f t="shared" si="0"/>
        <v>220</v>
      </c>
      <c r="L22" s="11">
        <f t="shared" si="3"/>
        <v>1.2532800000000002</v>
      </c>
    </row>
    <row r="23" spans="1:12" x14ac:dyDescent="0.25">
      <c r="A23" s="5" t="s">
        <v>12</v>
      </c>
      <c r="B23" s="6">
        <v>13</v>
      </c>
      <c r="C23" s="6" t="str">
        <f>'[1]key drivers'!A$20</f>
        <v>P/L</v>
      </c>
      <c r="D23" s="7">
        <v>109</v>
      </c>
      <c r="E23" s="8" t="s">
        <v>15</v>
      </c>
      <c r="F23" s="6">
        <v>5</v>
      </c>
      <c r="G23" s="6">
        <v>2.4900000000000002</v>
      </c>
      <c r="H23" s="7">
        <v>60</v>
      </c>
      <c r="I23" s="9">
        <f t="shared" si="1"/>
        <v>149.4</v>
      </c>
      <c r="J23" s="9">
        <f t="shared" si="2"/>
        <v>2655.9600000000005</v>
      </c>
      <c r="K23" s="10">
        <f t="shared" si="0"/>
        <v>747</v>
      </c>
      <c r="L23" s="11">
        <f t="shared" si="3"/>
        <v>1.3279800000000002</v>
      </c>
    </row>
    <row r="24" spans="1:12" x14ac:dyDescent="0.25">
      <c r="A24" s="5" t="s">
        <v>12</v>
      </c>
      <c r="B24" s="6">
        <v>13</v>
      </c>
      <c r="C24" s="6" t="str">
        <f>'[1]key drivers'!A$20</f>
        <v>P/L</v>
      </c>
      <c r="D24" s="7">
        <v>109</v>
      </c>
      <c r="E24" s="8" t="s">
        <v>14</v>
      </c>
      <c r="F24" s="6">
        <v>5</v>
      </c>
      <c r="G24" s="6">
        <v>2</v>
      </c>
      <c r="H24" s="7">
        <v>22</v>
      </c>
      <c r="I24" s="9">
        <f t="shared" si="1"/>
        <v>44</v>
      </c>
      <c r="J24" s="9">
        <f t="shared" si="2"/>
        <v>2699.9600000000005</v>
      </c>
      <c r="K24" s="10">
        <f t="shared" si="0"/>
        <v>220</v>
      </c>
      <c r="L24" s="11">
        <f t="shared" si="3"/>
        <v>1.3499800000000002</v>
      </c>
    </row>
    <row r="25" spans="1:12" x14ac:dyDescent="0.25">
      <c r="A25" s="5" t="s">
        <v>12</v>
      </c>
      <c r="B25" s="6">
        <v>14</v>
      </c>
      <c r="C25" s="6" t="str">
        <f>'[1]key drivers'!A$20</f>
        <v>P/L</v>
      </c>
      <c r="D25" s="7">
        <v>109</v>
      </c>
      <c r="E25" s="8" t="s">
        <v>15</v>
      </c>
      <c r="F25" s="6">
        <v>5</v>
      </c>
      <c r="G25" s="6">
        <v>2.4900000000000002</v>
      </c>
      <c r="H25" s="7">
        <v>66</v>
      </c>
      <c r="I25" s="9">
        <f t="shared" si="1"/>
        <v>164.34</v>
      </c>
      <c r="J25" s="9">
        <f t="shared" si="2"/>
        <v>2864.3000000000006</v>
      </c>
      <c r="K25" s="10">
        <f t="shared" si="0"/>
        <v>821.7</v>
      </c>
      <c r="L25" s="11">
        <f t="shared" si="3"/>
        <v>1.4321500000000003</v>
      </c>
    </row>
    <row r="26" spans="1:12" x14ac:dyDescent="0.25">
      <c r="A26" s="5" t="s">
        <v>12</v>
      </c>
      <c r="B26" s="6">
        <v>15</v>
      </c>
      <c r="C26" s="6" t="str">
        <f>'[1]key drivers'!A$21</f>
        <v>S/D</v>
      </c>
      <c r="D26" s="7">
        <v>109</v>
      </c>
      <c r="E26" s="8" t="s">
        <v>15</v>
      </c>
      <c r="F26" s="6">
        <v>5</v>
      </c>
      <c r="G26" s="6">
        <v>2</v>
      </c>
      <c r="H26" s="7">
        <v>81</v>
      </c>
      <c r="I26" s="9">
        <f t="shared" si="1"/>
        <v>162</v>
      </c>
      <c r="J26" s="9">
        <f t="shared" si="2"/>
        <v>3026.3000000000006</v>
      </c>
      <c r="K26" s="10">
        <f t="shared" si="0"/>
        <v>810</v>
      </c>
      <c r="L26" s="11">
        <f t="shared" si="3"/>
        <v>1.5131500000000002</v>
      </c>
    </row>
    <row r="27" spans="1:12" x14ac:dyDescent="0.25">
      <c r="A27" s="5" t="s">
        <v>12</v>
      </c>
      <c r="B27" s="6">
        <v>16</v>
      </c>
      <c r="C27" s="6" t="str">
        <f>'[1]key drivers'!A$21</f>
        <v>S/D</v>
      </c>
      <c r="D27" s="7">
        <v>109</v>
      </c>
      <c r="E27" s="8" t="s">
        <v>15</v>
      </c>
      <c r="F27" s="6">
        <v>5</v>
      </c>
      <c r="G27" s="6">
        <v>2</v>
      </c>
      <c r="H27" s="7">
        <v>83</v>
      </c>
      <c r="I27" s="9">
        <f t="shared" si="1"/>
        <v>166</v>
      </c>
      <c r="J27" s="9">
        <f t="shared" si="2"/>
        <v>3192.3000000000006</v>
      </c>
      <c r="K27" s="10">
        <f t="shared" si="0"/>
        <v>830</v>
      </c>
      <c r="L27" s="11">
        <f t="shared" si="3"/>
        <v>1.5961500000000002</v>
      </c>
    </row>
    <row r="28" spans="1:12" x14ac:dyDescent="0.25">
      <c r="A28" s="5" t="s">
        <v>12</v>
      </c>
      <c r="B28" s="6">
        <v>17</v>
      </c>
      <c r="C28" s="6" t="str">
        <f>'[1]key drivers'!A$20</f>
        <v>P/L</v>
      </c>
      <c r="D28" s="7">
        <v>109</v>
      </c>
      <c r="E28" s="8" t="s">
        <v>15</v>
      </c>
      <c r="F28" s="6">
        <v>5</v>
      </c>
      <c r="G28" s="6">
        <v>2.4900000000000002</v>
      </c>
      <c r="H28" s="7">
        <v>66</v>
      </c>
      <c r="I28" s="9">
        <f t="shared" si="1"/>
        <v>164.34</v>
      </c>
      <c r="J28" s="9">
        <f t="shared" si="2"/>
        <v>3356.6400000000008</v>
      </c>
      <c r="K28" s="10">
        <f t="shared" si="0"/>
        <v>821.7</v>
      </c>
      <c r="L28" s="11">
        <f t="shared" si="3"/>
        <v>1.6783200000000003</v>
      </c>
    </row>
    <row r="29" spans="1:12" x14ac:dyDescent="0.25">
      <c r="A29" s="5" t="s">
        <v>12</v>
      </c>
      <c r="B29" s="6">
        <v>18</v>
      </c>
      <c r="C29" s="6" t="str">
        <f>'[1]key drivers'!A$20</f>
        <v>P/L</v>
      </c>
      <c r="D29" s="7">
        <v>109</v>
      </c>
      <c r="E29" s="8" t="s">
        <v>15</v>
      </c>
      <c r="F29" s="6">
        <v>5</v>
      </c>
      <c r="G29" s="6">
        <v>2.4900000000000002</v>
      </c>
      <c r="H29" s="7">
        <v>66</v>
      </c>
      <c r="I29" s="9">
        <f t="shared" si="1"/>
        <v>164.34</v>
      </c>
      <c r="J29" s="9">
        <f t="shared" si="2"/>
        <v>3520.9800000000009</v>
      </c>
      <c r="K29" s="10">
        <f t="shared" si="0"/>
        <v>821.7</v>
      </c>
      <c r="L29" s="11">
        <f t="shared" si="3"/>
        <v>1.7604900000000003</v>
      </c>
    </row>
    <row r="30" spans="1:12" x14ac:dyDescent="0.25">
      <c r="A30" s="5" t="s">
        <v>12</v>
      </c>
      <c r="B30" s="6">
        <v>19</v>
      </c>
      <c r="C30" s="6" t="str">
        <f>'[1]key drivers'!A$21</f>
        <v>S/D</v>
      </c>
      <c r="D30" s="7">
        <v>109</v>
      </c>
      <c r="E30" s="8" t="s">
        <v>15</v>
      </c>
      <c r="F30" s="6">
        <v>5</v>
      </c>
      <c r="G30" s="6">
        <v>2</v>
      </c>
      <c r="H30" s="7">
        <v>83</v>
      </c>
      <c r="I30" s="9">
        <f t="shared" si="1"/>
        <v>166</v>
      </c>
      <c r="J30" s="9">
        <f t="shared" si="2"/>
        <v>3686.9800000000009</v>
      </c>
      <c r="K30" s="10">
        <f t="shared" si="0"/>
        <v>830</v>
      </c>
      <c r="L30" s="11">
        <f t="shared" si="3"/>
        <v>1.8434900000000003</v>
      </c>
    </row>
    <row r="31" spans="1:12" x14ac:dyDescent="0.25">
      <c r="A31" s="5" t="s">
        <v>12</v>
      </c>
      <c r="B31" s="6">
        <v>20</v>
      </c>
      <c r="C31" s="6" t="str">
        <f>'[1]key drivers'!A$21</f>
        <v>S/D</v>
      </c>
      <c r="D31" s="7">
        <v>109</v>
      </c>
      <c r="E31" s="8" t="s">
        <v>15</v>
      </c>
      <c r="F31" s="6">
        <v>5</v>
      </c>
      <c r="G31" s="6">
        <v>2</v>
      </c>
      <c r="H31" s="7">
        <v>63</v>
      </c>
      <c r="I31" s="9">
        <f t="shared" si="1"/>
        <v>126</v>
      </c>
      <c r="J31" s="9">
        <f t="shared" si="2"/>
        <v>3812.9800000000009</v>
      </c>
      <c r="K31" s="10">
        <f t="shared" si="0"/>
        <v>630</v>
      </c>
      <c r="L31" s="11">
        <f t="shared" si="3"/>
        <v>1.9064900000000002</v>
      </c>
    </row>
    <row r="32" spans="1:12" x14ac:dyDescent="0.25">
      <c r="A32" s="5" t="s">
        <v>12</v>
      </c>
      <c r="B32" s="14">
        <v>21</v>
      </c>
      <c r="C32" s="6" t="str">
        <f>'[1]key drivers'!$A$22</f>
        <v>06 P/L</v>
      </c>
      <c r="D32" s="7">
        <v>106</v>
      </c>
      <c r="E32" s="15" t="s">
        <v>16</v>
      </c>
      <c r="F32" s="6">
        <v>5</v>
      </c>
      <c r="G32" s="6">
        <v>2</v>
      </c>
      <c r="H32" s="7">
        <v>39</v>
      </c>
      <c r="I32" s="9">
        <v>80</v>
      </c>
      <c r="J32" s="9">
        <f t="shared" si="2"/>
        <v>3892.9800000000009</v>
      </c>
      <c r="K32" s="10">
        <f t="shared" si="0"/>
        <v>400</v>
      </c>
      <c r="L32" s="11">
        <f t="shared" si="3"/>
        <v>1.9464900000000003</v>
      </c>
    </row>
    <row r="33" spans="1:12" x14ac:dyDescent="0.25">
      <c r="A33" s="5" t="s">
        <v>12</v>
      </c>
      <c r="B33" s="6">
        <v>22</v>
      </c>
      <c r="C33" s="6" t="str">
        <f>'[1]key drivers'!A$20</f>
        <v>P/L</v>
      </c>
      <c r="D33" s="7">
        <v>109</v>
      </c>
      <c r="E33" s="8" t="s">
        <v>15</v>
      </c>
      <c r="F33" s="6">
        <v>5</v>
      </c>
      <c r="G33" s="6">
        <v>2.4900000000000002</v>
      </c>
      <c r="H33" s="7">
        <v>16</v>
      </c>
      <c r="I33" s="9">
        <f t="shared" si="1"/>
        <v>39.840000000000003</v>
      </c>
      <c r="J33" s="9">
        <f t="shared" si="2"/>
        <v>3932.8200000000011</v>
      </c>
      <c r="K33" s="10">
        <f t="shared" si="0"/>
        <v>199.20000000000002</v>
      </c>
      <c r="L33" s="11">
        <f t="shared" si="3"/>
        <v>1.9664100000000002</v>
      </c>
    </row>
    <row r="34" spans="1:12" x14ac:dyDescent="0.25">
      <c r="A34" s="5" t="s">
        <v>12</v>
      </c>
      <c r="B34" s="6">
        <v>23</v>
      </c>
      <c r="C34" s="6" t="str">
        <f>'[1]key drivers'!A$20</f>
        <v>P/L</v>
      </c>
      <c r="D34" s="7">
        <v>109</v>
      </c>
      <c r="E34" s="8" t="s">
        <v>15</v>
      </c>
      <c r="F34" s="6">
        <v>5</v>
      </c>
      <c r="G34" s="6">
        <v>2.4900000000000002</v>
      </c>
      <c r="H34" s="7">
        <v>11</v>
      </c>
      <c r="I34" s="9">
        <f t="shared" si="1"/>
        <v>27.39</v>
      </c>
      <c r="J34" s="9">
        <f t="shared" si="2"/>
        <v>3960.2100000000009</v>
      </c>
      <c r="K34" s="10">
        <f t="shared" si="0"/>
        <v>136.94999999999999</v>
      </c>
      <c r="L34" s="11">
        <f t="shared" si="3"/>
        <v>1.9801050000000002</v>
      </c>
    </row>
    <row r="35" spans="1:12" x14ac:dyDescent="0.25">
      <c r="A35" s="5"/>
      <c r="B35" s="6"/>
      <c r="C35" s="6"/>
      <c r="D35" s="7"/>
      <c r="E35" s="8"/>
      <c r="F35" s="6"/>
      <c r="G35" s="6"/>
      <c r="H35" s="7"/>
      <c r="I35" s="9"/>
      <c r="J35" s="9"/>
      <c r="K35" s="10"/>
      <c r="L35" s="11"/>
    </row>
    <row r="36" spans="1:12" x14ac:dyDescent="0.25">
      <c r="A36" s="6"/>
      <c r="B36" s="6"/>
      <c r="C36" s="6"/>
      <c r="D36" s="6"/>
      <c r="E36" s="8"/>
      <c r="F36" s="6"/>
      <c r="G36" s="6"/>
      <c r="H36" s="7"/>
      <c r="I36" s="9"/>
      <c r="J36" s="9"/>
      <c r="K36" s="10"/>
      <c r="L36" s="11"/>
    </row>
    <row r="37" spans="1:12" x14ac:dyDescent="0.25">
      <c r="A37" s="6" t="s">
        <v>17</v>
      </c>
      <c r="B37" s="6">
        <v>1</v>
      </c>
      <c r="C37" s="5" t="s">
        <v>13</v>
      </c>
      <c r="D37" s="7">
        <v>104</v>
      </c>
      <c r="E37" s="8">
        <v>2017</v>
      </c>
      <c r="F37" s="6">
        <v>5</v>
      </c>
      <c r="G37" s="6">
        <v>0.51</v>
      </c>
      <c r="H37" s="7">
        <v>216</v>
      </c>
      <c r="I37" s="9">
        <f>G37*H37</f>
        <v>110.16</v>
      </c>
      <c r="J37" s="9">
        <f>I37</f>
        <v>110.16</v>
      </c>
      <c r="K37" s="10">
        <f t="shared" si="0"/>
        <v>550.79999999999995</v>
      </c>
      <c r="L37" s="16">
        <f>K37/10000</f>
        <v>5.5079999999999997E-2</v>
      </c>
    </row>
    <row r="38" spans="1:12" x14ac:dyDescent="0.25">
      <c r="A38" s="6" t="s">
        <v>17</v>
      </c>
      <c r="B38" s="6">
        <v>2</v>
      </c>
      <c r="C38" s="5" t="s">
        <v>13</v>
      </c>
      <c r="D38" s="7">
        <v>104</v>
      </c>
      <c r="E38" s="8">
        <v>2017</v>
      </c>
      <c r="F38" s="6">
        <v>5</v>
      </c>
      <c r="G38" s="6">
        <v>0.53</v>
      </c>
      <c r="H38" s="7">
        <v>190</v>
      </c>
      <c r="I38" s="9">
        <f>G38*H38</f>
        <v>100.7</v>
      </c>
      <c r="J38" s="9">
        <f>I38+J37</f>
        <v>210.86</v>
      </c>
      <c r="K38" s="10">
        <f t="shared" si="0"/>
        <v>503.5</v>
      </c>
      <c r="L38" s="16">
        <f>K38/10000+L37</f>
        <v>0.10543</v>
      </c>
    </row>
    <row r="39" spans="1:12" x14ac:dyDescent="0.25">
      <c r="A39" s="6" t="s">
        <v>17</v>
      </c>
      <c r="B39" s="6">
        <v>2</v>
      </c>
      <c r="C39" s="6" t="str">
        <f>'[1]key drivers'!A$20</f>
        <v>P/L</v>
      </c>
      <c r="D39" s="7">
        <v>109</v>
      </c>
      <c r="E39" s="8" t="s">
        <v>15</v>
      </c>
      <c r="F39" s="6">
        <v>5</v>
      </c>
      <c r="G39" s="6">
        <v>2.9</v>
      </c>
      <c r="H39" s="7">
        <v>8</v>
      </c>
      <c r="I39" s="9">
        <f>G39*H39</f>
        <v>23.2</v>
      </c>
      <c r="J39" s="9">
        <f t="shared" ref="J39:J68" si="4">I39+J38</f>
        <v>234.06</v>
      </c>
      <c r="K39" s="10">
        <f t="shared" si="0"/>
        <v>116</v>
      </c>
      <c r="L39" s="16">
        <f t="shared" ref="L39:L68" si="5">K39/10000+L38</f>
        <v>0.11703</v>
      </c>
    </row>
    <row r="40" spans="1:12" x14ac:dyDescent="0.25">
      <c r="A40" s="6" t="s">
        <v>17</v>
      </c>
      <c r="B40" s="6">
        <v>3</v>
      </c>
      <c r="C40" s="6" t="str">
        <f>'[1]key drivers'!A$20</f>
        <v>P/L</v>
      </c>
      <c r="D40" s="7">
        <v>109</v>
      </c>
      <c r="E40" s="8" t="s">
        <v>15</v>
      </c>
      <c r="F40" s="6">
        <v>5</v>
      </c>
      <c r="G40" s="6">
        <v>2.4940000000000002</v>
      </c>
      <c r="H40" s="7">
        <f>ROUND(I40/G40,0)</f>
        <v>53</v>
      </c>
      <c r="I40" s="9">
        <v>132</v>
      </c>
      <c r="J40" s="9">
        <f t="shared" si="4"/>
        <v>366.06</v>
      </c>
      <c r="K40" s="10">
        <f t="shared" si="0"/>
        <v>660</v>
      </c>
      <c r="L40" s="16">
        <f t="shared" si="5"/>
        <v>0.18303</v>
      </c>
    </row>
    <row r="41" spans="1:12" x14ac:dyDescent="0.25">
      <c r="A41" s="6" t="s">
        <v>17</v>
      </c>
      <c r="B41" s="6">
        <v>4</v>
      </c>
      <c r="C41" s="6" t="str">
        <f>'[1]key drivers'!A$20</f>
        <v>P/L</v>
      </c>
      <c r="D41" s="7">
        <v>109</v>
      </c>
      <c r="E41" s="8" t="s">
        <v>15</v>
      </c>
      <c r="F41" s="6">
        <v>5</v>
      </c>
      <c r="G41" s="6">
        <v>2.4940000000000002</v>
      </c>
      <c r="H41" s="7">
        <f t="shared" ref="H41:H46" si="6">ROUND(I41/G41,0)</f>
        <v>53</v>
      </c>
      <c r="I41" s="9">
        <v>132</v>
      </c>
      <c r="J41" s="9">
        <f t="shared" si="4"/>
        <v>498.06</v>
      </c>
      <c r="K41" s="10">
        <f t="shared" si="0"/>
        <v>660</v>
      </c>
      <c r="L41" s="16">
        <f t="shared" si="5"/>
        <v>0.24903</v>
      </c>
    </row>
    <row r="42" spans="1:12" x14ac:dyDescent="0.25">
      <c r="A42" s="6" t="s">
        <v>17</v>
      </c>
      <c r="B42" s="6">
        <v>5</v>
      </c>
      <c r="C42" s="6" t="str">
        <f>'[1]key drivers'!A$21</f>
        <v>S/D</v>
      </c>
      <c r="D42" s="7">
        <v>109</v>
      </c>
      <c r="E42" s="8" t="s">
        <v>15</v>
      </c>
      <c r="F42" s="6">
        <v>5</v>
      </c>
      <c r="G42" s="6">
        <v>2.0099999999999998</v>
      </c>
      <c r="H42" s="7">
        <f t="shared" si="6"/>
        <v>66</v>
      </c>
      <c r="I42" s="9">
        <v>132</v>
      </c>
      <c r="J42" s="9">
        <f t="shared" si="4"/>
        <v>630.05999999999995</v>
      </c>
      <c r="K42" s="10">
        <f t="shared" si="0"/>
        <v>660</v>
      </c>
      <c r="L42" s="16">
        <f t="shared" si="5"/>
        <v>0.31503000000000003</v>
      </c>
    </row>
    <row r="43" spans="1:12" x14ac:dyDescent="0.25">
      <c r="A43" s="6" t="s">
        <v>17</v>
      </c>
      <c r="B43" s="6">
        <v>6</v>
      </c>
      <c r="C43" s="6" t="str">
        <f>'[1]key drivers'!A$21</f>
        <v>S/D</v>
      </c>
      <c r="D43" s="7">
        <v>109</v>
      </c>
      <c r="E43" s="8" t="s">
        <v>15</v>
      </c>
      <c r="F43" s="6">
        <v>5</v>
      </c>
      <c r="G43" s="6">
        <v>2.0099999999999998</v>
      </c>
      <c r="H43" s="7">
        <f t="shared" si="6"/>
        <v>66</v>
      </c>
      <c r="I43" s="9">
        <v>132</v>
      </c>
      <c r="J43" s="9">
        <f t="shared" si="4"/>
        <v>762.06</v>
      </c>
      <c r="K43" s="10">
        <f t="shared" si="0"/>
        <v>660</v>
      </c>
      <c r="L43" s="16">
        <f t="shared" si="5"/>
        <v>0.38103000000000004</v>
      </c>
    </row>
    <row r="44" spans="1:12" x14ac:dyDescent="0.25">
      <c r="A44" s="6" t="s">
        <v>17</v>
      </c>
      <c r="B44" s="14">
        <v>7</v>
      </c>
      <c r="C44" s="6" t="str">
        <f>'[1]key drivers'!$A$22</f>
        <v>06 P/L</v>
      </c>
      <c r="D44" s="7">
        <v>106</v>
      </c>
      <c r="E44" s="15" t="s">
        <v>16</v>
      </c>
      <c r="F44" s="6">
        <v>5</v>
      </c>
      <c r="G44" s="6">
        <v>2</v>
      </c>
      <c r="H44" s="17">
        <v>58</v>
      </c>
      <c r="I44" s="9">
        <v>132</v>
      </c>
      <c r="J44" s="9">
        <f t="shared" si="4"/>
        <v>894.06</v>
      </c>
      <c r="K44" s="10">
        <f t="shared" si="0"/>
        <v>660</v>
      </c>
      <c r="L44" s="16">
        <f t="shared" si="5"/>
        <v>0.44703000000000004</v>
      </c>
    </row>
    <row r="45" spans="1:12" x14ac:dyDescent="0.25">
      <c r="A45" s="6" t="s">
        <v>17</v>
      </c>
      <c r="B45" s="14">
        <v>8</v>
      </c>
      <c r="C45" s="6" t="str">
        <f>'[1]key drivers'!$A$22</f>
        <v>06 P/L</v>
      </c>
      <c r="D45" s="7">
        <v>106</v>
      </c>
      <c r="E45" s="15" t="s">
        <v>16</v>
      </c>
      <c r="F45" s="6">
        <v>5</v>
      </c>
      <c r="G45" s="6">
        <v>2</v>
      </c>
      <c r="H45" s="6">
        <v>60</v>
      </c>
      <c r="I45" s="9">
        <v>132</v>
      </c>
      <c r="J45" s="9">
        <f t="shared" si="4"/>
        <v>1026.06</v>
      </c>
      <c r="K45" s="10">
        <f t="shared" si="0"/>
        <v>660</v>
      </c>
      <c r="L45" s="16">
        <f t="shared" si="5"/>
        <v>0.5130300000000001</v>
      </c>
    </row>
    <row r="46" spans="1:12" x14ac:dyDescent="0.25">
      <c r="A46" s="6" t="s">
        <v>17</v>
      </c>
      <c r="B46" s="6">
        <v>9</v>
      </c>
      <c r="C46" s="6" t="str">
        <f>'[1]key drivers'!A$20</f>
        <v>P/L</v>
      </c>
      <c r="D46" s="7">
        <v>109</v>
      </c>
      <c r="E46" s="8" t="s">
        <v>15</v>
      </c>
      <c r="F46" s="6">
        <v>5</v>
      </c>
      <c r="G46" s="6">
        <v>2.4940000000000002</v>
      </c>
      <c r="H46" s="7">
        <f t="shared" si="6"/>
        <v>53</v>
      </c>
      <c r="I46" s="9">
        <v>132</v>
      </c>
      <c r="J46" s="9">
        <f t="shared" si="4"/>
        <v>1158.06</v>
      </c>
      <c r="K46" s="10">
        <f t="shared" si="0"/>
        <v>660</v>
      </c>
      <c r="L46" s="16">
        <f t="shared" si="5"/>
        <v>0.57903000000000016</v>
      </c>
    </row>
    <row r="47" spans="1:12" x14ac:dyDescent="0.25">
      <c r="A47" s="6" t="s">
        <v>17</v>
      </c>
      <c r="B47" s="6">
        <v>10</v>
      </c>
      <c r="C47" s="6" t="str">
        <f>'[1]key drivers'!A$20</f>
        <v>P/L</v>
      </c>
      <c r="D47" s="7">
        <v>109</v>
      </c>
      <c r="E47" s="8" t="s">
        <v>15</v>
      </c>
      <c r="F47" s="6">
        <v>5</v>
      </c>
      <c r="G47" s="6">
        <v>2.4940000000000002</v>
      </c>
      <c r="H47" s="7">
        <v>53</v>
      </c>
      <c r="I47" s="9">
        <f>ROUND(G47*H47,0)</f>
        <v>132</v>
      </c>
      <c r="J47" s="9">
        <f t="shared" si="4"/>
        <v>1290.06</v>
      </c>
      <c r="K47" s="10">
        <f t="shared" si="0"/>
        <v>660</v>
      </c>
      <c r="L47" s="16">
        <f t="shared" si="5"/>
        <v>0.64503000000000021</v>
      </c>
    </row>
    <row r="48" spans="1:12" x14ac:dyDescent="0.25">
      <c r="A48" s="6" t="s">
        <v>17</v>
      </c>
      <c r="B48" s="6">
        <v>11</v>
      </c>
      <c r="C48" s="6" t="str">
        <f>'[1]key drivers'!A$21</f>
        <v>S/D</v>
      </c>
      <c r="D48" s="7">
        <v>109</v>
      </c>
      <c r="E48" s="8" t="s">
        <v>15</v>
      </c>
      <c r="F48" s="6">
        <v>5</v>
      </c>
      <c r="G48" s="6">
        <v>2.0099999999999998</v>
      </c>
      <c r="H48" s="7">
        <v>66</v>
      </c>
      <c r="I48" s="9">
        <f>ROUND(G48*H48,0)</f>
        <v>133</v>
      </c>
      <c r="J48" s="9">
        <f t="shared" si="4"/>
        <v>1423.06</v>
      </c>
      <c r="K48" s="10">
        <f t="shared" si="0"/>
        <v>665</v>
      </c>
      <c r="L48" s="16">
        <f t="shared" si="5"/>
        <v>0.71153000000000022</v>
      </c>
    </row>
    <row r="49" spans="1:12" x14ac:dyDescent="0.25">
      <c r="A49" s="6" t="s">
        <v>17</v>
      </c>
      <c r="B49" s="6">
        <v>12</v>
      </c>
      <c r="C49" s="6" t="str">
        <f>'[1]key drivers'!A$21</f>
        <v>S/D</v>
      </c>
      <c r="D49" s="7">
        <v>109</v>
      </c>
      <c r="E49" s="8" t="s">
        <v>15</v>
      </c>
      <c r="F49" s="6">
        <v>5</v>
      </c>
      <c r="G49" s="6">
        <v>2.0099999999999998</v>
      </c>
      <c r="H49" s="7">
        <f t="shared" ref="H49:H54" si="7">ROUND(I49/G49,0)</f>
        <v>66</v>
      </c>
      <c r="I49" s="9">
        <v>132</v>
      </c>
      <c r="J49" s="9">
        <f t="shared" si="4"/>
        <v>1555.06</v>
      </c>
      <c r="K49" s="10">
        <f t="shared" si="0"/>
        <v>660</v>
      </c>
      <c r="L49" s="16">
        <f t="shared" si="5"/>
        <v>0.77753000000000028</v>
      </c>
    </row>
    <row r="50" spans="1:12" x14ac:dyDescent="0.25">
      <c r="A50" s="6" t="s">
        <v>17</v>
      </c>
      <c r="B50" s="6">
        <v>13</v>
      </c>
      <c r="C50" s="6" t="str">
        <f>'[1]key drivers'!A$20</f>
        <v>P/L</v>
      </c>
      <c r="D50" s="7">
        <v>109</v>
      </c>
      <c r="E50" s="8" t="s">
        <v>15</v>
      </c>
      <c r="F50" s="6">
        <v>5</v>
      </c>
      <c r="G50" s="6">
        <v>2.4940000000000002</v>
      </c>
      <c r="H50" s="7">
        <f t="shared" si="7"/>
        <v>53</v>
      </c>
      <c r="I50" s="9">
        <v>132</v>
      </c>
      <c r="J50" s="9">
        <f t="shared" si="4"/>
        <v>1687.06</v>
      </c>
      <c r="K50" s="10">
        <f t="shared" si="0"/>
        <v>660</v>
      </c>
      <c r="L50" s="16">
        <f t="shared" si="5"/>
        <v>0.84353000000000034</v>
      </c>
    </row>
    <row r="51" spans="1:12" x14ac:dyDescent="0.25">
      <c r="A51" s="6" t="s">
        <v>17</v>
      </c>
      <c r="B51" s="6">
        <v>14</v>
      </c>
      <c r="C51" s="6" t="str">
        <f>'[1]key drivers'!A$20</f>
        <v>P/L</v>
      </c>
      <c r="D51" s="7">
        <v>109</v>
      </c>
      <c r="E51" s="8" t="s">
        <v>15</v>
      </c>
      <c r="F51" s="6">
        <v>5</v>
      </c>
      <c r="G51" s="6">
        <v>2.4940000000000002</v>
      </c>
      <c r="H51" s="7">
        <f t="shared" si="7"/>
        <v>53</v>
      </c>
      <c r="I51" s="9">
        <v>132</v>
      </c>
      <c r="J51" s="9">
        <f t="shared" si="4"/>
        <v>1819.06</v>
      </c>
      <c r="K51" s="10">
        <f t="shared" si="0"/>
        <v>660</v>
      </c>
      <c r="L51" s="16">
        <f t="shared" si="5"/>
        <v>0.90953000000000039</v>
      </c>
    </row>
    <row r="52" spans="1:12" x14ac:dyDescent="0.25">
      <c r="A52" s="6" t="s">
        <v>17</v>
      </c>
      <c r="B52" s="6">
        <v>15</v>
      </c>
      <c r="C52" s="6" t="str">
        <f>'[1]key drivers'!A$21</f>
        <v>S/D</v>
      </c>
      <c r="D52" s="7">
        <v>109</v>
      </c>
      <c r="E52" s="8" t="s">
        <v>15</v>
      </c>
      <c r="F52" s="6">
        <v>5</v>
      </c>
      <c r="G52" s="6">
        <v>2.0099999999999998</v>
      </c>
      <c r="H52" s="7">
        <f t="shared" si="7"/>
        <v>66</v>
      </c>
      <c r="I52" s="9">
        <v>132</v>
      </c>
      <c r="J52" s="9">
        <f t="shared" si="4"/>
        <v>1951.06</v>
      </c>
      <c r="K52" s="10">
        <f t="shared" si="0"/>
        <v>660</v>
      </c>
      <c r="L52" s="16">
        <f t="shared" si="5"/>
        <v>0.97553000000000045</v>
      </c>
    </row>
    <row r="53" spans="1:12" x14ac:dyDescent="0.25">
      <c r="A53" s="6" t="s">
        <v>17</v>
      </c>
      <c r="B53" s="6">
        <v>16</v>
      </c>
      <c r="C53" s="6" t="str">
        <f>'[1]key drivers'!A$21</f>
        <v>S/D</v>
      </c>
      <c r="D53" s="7">
        <v>109</v>
      </c>
      <c r="E53" s="8" t="s">
        <v>15</v>
      </c>
      <c r="F53" s="6">
        <v>5</v>
      </c>
      <c r="G53" s="6">
        <v>2.0099999999999998</v>
      </c>
      <c r="H53" s="7">
        <f t="shared" si="7"/>
        <v>66</v>
      </c>
      <c r="I53" s="9">
        <v>132</v>
      </c>
      <c r="J53" s="9">
        <f t="shared" si="4"/>
        <v>2083.06</v>
      </c>
      <c r="K53" s="10">
        <f t="shared" si="0"/>
        <v>660</v>
      </c>
      <c r="L53" s="16">
        <f t="shared" si="5"/>
        <v>1.0415300000000005</v>
      </c>
    </row>
    <row r="54" spans="1:12" x14ac:dyDescent="0.25">
      <c r="A54" s="6" t="s">
        <v>17</v>
      </c>
      <c r="B54" s="6">
        <v>17</v>
      </c>
      <c r="C54" s="6" t="str">
        <f>'[1]key drivers'!A$20</f>
        <v>P/L</v>
      </c>
      <c r="D54" s="7">
        <v>109</v>
      </c>
      <c r="E54" s="8" t="s">
        <v>15</v>
      </c>
      <c r="F54" s="6">
        <v>5</v>
      </c>
      <c r="G54" s="6">
        <v>2.4940000000000002</v>
      </c>
      <c r="H54" s="7">
        <f t="shared" si="7"/>
        <v>53</v>
      </c>
      <c r="I54" s="9">
        <v>132</v>
      </c>
      <c r="J54" s="9">
        <f t="shared" si="4"/>
        <v>2215.06</v>
      </c>
      <c r="K54" s="10">
        <f t="shared" si="0"/>
        <v>660</v>
      </c>
      <c r="L54" s="16">
        <f t="shared" si="5"/>
        <v>1.1075300000000006</v>
      </c>
    </row>
    <row r="55" spans="1:12" x14ac:dyDescent="0.25">
      <c r="A55" s="6" t="s">
        <v>17</v>
      </c>
      <c r="B55" s="6">
        <v>18</v>
      </c>
      <c r="C55" s="6" t="str">
        <f>'[1]key drivers'!A$20</f>
        <v>P/L</v>
      </c>
      <c r="D55" s="7">
        <v>109</v>
      </c>
      <c r="E55" s="8" t="s">
        <v>15</v>
      </c>
      <c r="F55" s="6">
        <v>5</v>
      </c>
      <c r="G55" s="6">
        <v>2.4940000000000002</v>
      </c>
      <c r="H55" s="7">
        <v>53</v>
      </c>
      <c r="I55" s="9">
        <f>ROUND(G55*H55,0)</f>
        <v>132</v>
      </c>
      <c r="J55" s="9">
        <f t="shared" si="4"/>
        <v>2347.06</v>
      </c>
      <c r="K55" s="10">
        <f t="shared" si="0"/>
        <v>660</v>
      </c>
      <c r="L55" s="16">
        <f t="shared" si="5"/>
        <v>1.1735300000000006</v>
      </c>
    </row>
    <row r="56" spans="1:12" x14ac:dyDescent="0.25">
      <c r="A56" s="6" t="s">
        <v>17</v>
      </c>
      <c r="B56" s="6">
        <v>19</v>
      </c>
      <c r="C56" s="6" t="str">
        <f>'[1]key drivers'!A$21</f>
        <v>S/D</v>
      </c>
      <c r="D56" s="7">
        <v>109</v>
      </c>
      <c r="E56" s="8" t="s">
        <v>15</v>
      </c>
      <c r="F56" s="6">
        <v>5</v>
      </c>
      <c r="G56" s="6">
        <v>2.0099999999999998</v>
      </c>
      <c r="H56" s="7">
        <f>ROUND(I56/G56,0)</f>
        <v>66</v>
      </c>
      <c r="I56" s="9">
        <v>132</v>
      </c>
      <c r="J56" s="9">
        <f t="shared" si="4"/>
        <v>2479.06</v>
      </c>
      <c r="K56" s="10">
        <f t="shared" si="0"/>
        <v>660</v>
      </c>
      <c r="L56" s="16">
        <f t="shared" si="5"/>
        <v>1.2395300000000007</v>
      </c>
    </row>
    <row r="57" spans="1:12" x14ac:dyDescent="0.25">
      <c r="A57" s="6" t="s">
        <v>17</v>
      </c>
      <c r="B57" s="6">
        <v>20</v>
      </c>
      <c r="C57" s="6" t="str">
        <f>'[1]key drivers'!A$21</f>
        <v>S/D</v>
      </c>
      <c r="D57" s="7">
        <v>109</v>
      </c>
      <c r="E57" s="8" t="s">
        <v>15</v>
      </c>
      <c r="F57" s="6">
        <v>5</v>
      </c>
      <c r="G57" s="6">
        <v>2.0099999999999998</v>
      </c>
      <c r="H57" s="7">
        <f>ROUND(I57/G57,0)</f>
        <v>66</v>
      </c>
      <c r="I57" s="9">
        <v>132</v>
      </c>
      <c r="J57" s="9">
        <f t="shared" si="4"/>
        <v>2611.06</v>
      </c>
      <c r="K57" s="10">
        <f t="shared" si="0"/>
        <v>660</v>
      </c>
      <c r="L57" s="16">
        <f t="shared" si="5"/>
        <v>1.3055300000000007</v>
      </c>
    </row>
    <row r="58" spans="1:12" x14ac:dyDescent="0.25">
      <c r="A58" s="6" t="s">
        <v>17</v>
      </c>
      <c r="B58" s="14">
        <v>21</v>
      </c>
      <c r="C58" s="6" t="str">
        <f>'[1]key drivers'!$A$22</f>
        <v>06 P/L</v>
      </c>
      <c r="D58" s="7">
        <v>106</v>
      </c>
      <c r="E58" s="15" t="s">
        <v>16</v>
      </c>
      <c r="F58" s="6">
        <v>5</v>
      </c>
      <c r="G58" s="6">
        <v>2</v>
      </c>
      <c r="H58" s="7">
        <v>63</v>
      </c>
      <c r="I58" s="9">
        <v>132</v>
      </c>
      <c r="J58" s="9">
        <f t="shared" si="4"/>
        <v>2743.06</v>
      </c>
      <c r="K58" s="10">
        <f t="shared" si="0"/>
        <v>660</v>
      </c>
      <c r="L58" s="16">
        <f t="shared" si="5"/>
        <v>1.3715300000000008</v>
      </c>
    </row>
    <row r="59" spans="1:12" x14ac:dyDescent="0.25">
      <c r="A59" s="6" t="s">
        <v>17</v>
      </c>
      <c r="B59" s="14">
        <v>22</v>
      </c>
      <c r="C59" s="6" t="str">
        <f>'[1]key drivers'!$A$22</f>
        <v>06 P/L</v>
      </c>
      <c r="D59" s="7">
        <v>106</v>
      </c>
      <c r="E59" s="15" t="s">
        <v>16</v>
      </c>
      <c r="F59" s="6">
        <v>5</v>
      </c>
      <c r="G59" s="6">
        <v>2</v>
      </c>
      <c r="H59" s="7">
        <v>61</v>
      </c>
      <c r="I59" s="9">
        <v>132</v>
      </c>
      <c r="J59" s="9">
        <f t="shared" si="4"/>
        <v>2875.06</v>
      </c>
      <c r="K59" s="10">
        <f t="shared" si="0"/>
        <v>660</v>
      </c>
      <c r="L59" s="16">
        <f t="shared" si="5"/>
        <v>1.4375300000000009</v>
      </c>
    </row>
    <row r="60" spans="1:12" x14ac:dyDescent="0.25">
      <c r="A60" s="6" t="s">
        <v>17</v>
      </c>
      <c r="B60" s="6">
        <v>23</v>
      </c>
      <c r="C60" s="6" t="str">
        <f>'[1]key drivers'!A$20</f>
        <v>P/L</v>
      </c>
      <c r="D60" s="7">
        <v>109</v>
      </c>
      <c r="E60" s="8" t="s">
        <v>15</v>
      </c>
      <c r="F60" s="6">
        <v>5</v>
      </c>
      <c r="G60" s="6">
        <v>2.4940000000000002</v>
      </c>
      <c r="H60" s="7">
        <f>ROUND(I60/G60,0)</f>
        <v>53</v>
      </c>
      <c r="I60" s="9">
        <v>132</v>
      </c>
      <c r="J60" s="9">
        <f t="shared" si="4"/>
        <v>3007.06</v>
      </c>
      <c r="K60" s="10">
        <f t="shared" si="0"/>
        <v>660</v>
      </c>
      <c r="L60" s="16">
        <f t="shared" si="5"/>
        <v>1.5035300000000009</v>
      </c>
    </row>
    <row r="61" spans="1:12" x14ac:dyDescent="0.25">
      <c r="A61" s="6" t="s">
        <v>17</v>
      </c>
      <c r="B61" s="6">
        <v>24</v>
      </c>
      <c r="C61" s="6" t="str">
        <f>'[1]key drivers'!A$20</f>
        <v>P/L</v>
      </c>
      <c r="D61" s="7">
        <v>109</v>
      </c>
      <c r="E61" s="8" t="s">
        <v>15</v>
      </c>
      <c r="F61" s="6">
        <v>5</v>
      </c>
      <c r="G61" s="6">
        <v>2.4940000000000002</v>
      </c>
      <c r="H61" s="7">
        <v>30</v>
      </c>
      <c r="I61" s="9">
        <f>ROUND(G61*H61,0)</f>
        <v>75</v>
      </c>
      <c r="J61" s="9">
        <f t="shared" si="4"/>
        <v>3082.06</v>
      </c>
      <c r="K61" s="10">
        <f t="shared" si="0"/>
        <v>375</v>
      </c>
      <c r="L61" s="16">
        <f t="shared" si="5"/>
        <v>1.541030000000001</v>
      </c>
    </row>
    <row r="62" spans="1:12" x14ac:dyDescent="0.25">
      <c r="A62" s="6" t="s">
        <v>17</v>
      </c>
      <c r="B62" s="6">
        <v>24</v>
      </c>
      <c r="C62" s="6" t="str">
        <f>'[1]key drivers'!A$21</f>
        <v>S/D</v>
      </c>
      <c r="D62" s="7">
        <v>109</v>
      </c>
      <c r="E62" s="8" t="s">
        <v>15</v>
      </c>
      <c r="F62" s="6">
        <v>5</v>
      </c>
      <c r="G62" s="6">
        <v>2.0099999999999998</v>
      </c>
      <c r="H62" s="7">
        <v>28</v>
      </c>
      <c r="I62" s="9">
        <f>ROUND(G62*H62,0)</f>
        <v>56</v>
      </c>
      <c r="J62" s="9">
        <f t="shared" si="4"/>
        <v>3138.06</v>
      </c>
      <c r="K62" s="10">
        <f t="shared" si="0"/>
        <v>280</v>
      </c>
      <c r="L62" s="16">
        <f t="shared" si="5"/>
        <v>1.569030000000001</v>
      </c>
    </row>
    <row r="63" spans="1:12" x14ac:dyDescent="0.25">
      <c r="A63" s="6" t="s">
        <v>17</v>
      </c>
      <c r="B63" s="6">
        <v>25</v>
      </c>
      <c r="C63" s="6" t="str">
        <f>'[1]key drivers'!A$21</f>
        <v>S/D</v>
      </c>
      <c r="D63" s="7">
        <v>109</v>
      </c>
      <c r="E63" s="8" t="s">
        <v>15</v>
      </c>
      <c r="F63" s="6">
        <v>5</v>
      </c>
      <c r="G63" s="6">
        <v>2.0099999999999998</v>
      </c>
      <c r="H63" s="7">
        <v>64</v>
      </c>
      <c r="I63" s="9">
        <f>ROUND(G63*H63,0)</f>
        <v>129</v>
      </c>
      <c r="J63" s="9">
        <f t="shared" si="4"/>
        <v>3267.06</v>
      </c>
      <c r="K63" s="10">
        <f t="shared" si="0"/>
        <v>645</v>
      </c>
      <c r="L63" s="16">
        <f t="shared" si="5"/>
        <v>1.633530000000001</v>
      </c>
    </row>
    <row r="64" spans="1:12" x14ac:dyDescent="0.25">
      <c r="A64" s="6" t="s">
        <v>17</v>
      </c>
      <c r="B64" s="6">
        <v>26</v>
      </c>
      <c r="C64" s="6" t="str">
        <f>'[1]key drivers'!A$21</f>
        <v>S/D</v>
      </c>
      <c r="D64" s="7">
        <v>109</v>
      </c>
      <c r="E64" s="8" t="s">
        <v>15</v>
      </c>
      <c r="F64" s="6">
        <v>5</v>
      </c>
      <c r="G64" s="6">
        <v>2.0099999999999998</v>
      </c>
      <c r="H64" s="7">
        <f>ROUND(I64/G64,0)</f>
        <v>65</v>
      </c>
      <c r="I64" s="9">
        <v>130</v>
      </c>
      <c r="J64" s="9">
        <f t="shared" si="4"/>
        <v>3397.06</v>
      </c>
      <c r="K64" s="10">
        <f t="shared" si="0"/>
        <v>650</v>
      </c>
      <c r="L64" s="16">
        <f t="shared" si="5"/>
        <v>1.698530000000001</v>
      </c>
    </row>
    <row r="65" spans="1:12" x14ac:dyDescent="0.25">
      <c r="A65" s="6" t="s">
        <v>17</v>
      </c>
      <c r="B65" s="6">
        <v>27</v>
      </c>
      <c r="C65" s="6" t="str">
        <f>'[1]key drivers'!A$20</f>
        <v>P/L</v>
      </c>
      <c r="D65" s="7">
        <v>109</v>
      </c>
      <c r="E65" s="8" t="s">
        <v>15</v>
      </c>
      <c r="F65" s="6">
        <v>5</v>
      </c>
      <c r="G65" s="6">
        <v>2.4940000000000002</v>
      </c>
      <c r="H65" s="7">
        <v>38</v>
      </c>
      <c r="I65" s="9">
        <f>ROUND(G65*H65,0)</f>
        <v>95</v>
      </c>
      <c r="J65" s="9">
        <f t="shared" si="4"/>
        <v>3492.06</v>
      </c>
      <c r="K65" s="10">
        <f t="shared" si="0"/>
        <v>475</v>
      </c>
      <c r="L65" s="16">
        <f t="shared" si="5"/>
        <v>1.7460300000000011</v>
      </c>
    </row>
    <row r="66" spans="1:12" x14ac:dyDescent="0.25">
      <c r="A66" s="6" t="s">
        <v>17</v>
      </c>
      <c r="B66" s="6">
        <v>28</v>
      </c>
      <c r="C66" s="6" t="str">
        <f>'[1]key drivers'!A$20</f>
        <v>P/L</v>
      </c>
      <c r="D66" s="7">
        <v>109</v>
      </c>
      <c r="E66" s="8" t="s">
        <v>15</v>
      </c>
      <c r="F66" s="6">
        <v>5</v>
      </c>
      <c r="G66" s="6">
        <v>2.4940000000000002</v>
      </c>
      <c r="H66" s="7">
        <f>ROUND(I66/G66,0)</f>
        <v>39</v>
      </c>
      <c r="I66" s="9">
        <v>98</v>
      </c>
      <c r="J66" s="9">
        <f t="shared" si="4"/>
        <v>3590.06</v>
      </c>
      <c r="K66" s="10">
        <f t="shared" ref="K66:K108" si="8">F66*I66</f>
        <v>490</v>
      </c>
      <c r="L66" s="16">
        <f t="shared" si="5"/>
        <v>1.795030000000001</v>
      </c>
    </row>
    <row r="67" spans="1:12" x14ac:dyDescent="0.25">
      <c r="A67" s="6" t="s">
        <v>17</v>
      </c>
      <c r="B67" s="6">
        <v>29</v>
      </c>
      <c r="C67" s="6" t="str">
        <f>'[1]key drivers'!A$20</f>
        <v>P/L</v>
      </c>
      <c r="D67" s="7">
        <v>109</v>
      </c>
      <c r="E67" s="8" t="s">
        <v>15</v>
      </c>
      <c r="F67" s="6">
        <v>5</v>
      </c>
      <c r="G67" s="6">
        <v>2.4940000000000002</v>
      </c>
      <c r="H67" s="7">
        <v>26</v>
      </c>
      <c r="I67" s="9">
        <f>ROUND(G67*H67,0)</f>
        <v>65</v>
      </c>
      <c r="J67" s="9">
        <f t="shared" si="4"/>
        <v>3655.06</v>
      </c>
      <c r="K67" s="10">
        <f t="shared" si="8"/>
        <v>325</v>
      </c>
      <c r="L67" s="16">
        <f t="shared" si="5"/>
        <v>1.827530000000001</v>
      </c>
    </row>
    <row r="68" spans="1:12" x14ac:dyDescent="0.25">
      <c r="A68" s="6" t="s">
        <v>17</v>
      </c>
      <c r="B68" s="6">
        <v>30</v>
      </c>
      <c r="C68" s="6" t="str">
        <f>'[1]key drivers'!A$20</f>
        <v>P/L</v>
      </c>
      <c r="D68" s="7">
        <v>109</v>
      </c>
      <c r="E68" s="8" t="s">
        <v>15</v>
      </c>
      <c r="F68" s="6">
        <v>5</v>
      </c>
      <c r="G68" s="6">
        <v>2.4940000000000002</v>
      </c>
      <c r="H68" s="7">
        <v>16</v>
      </c>
      <c r="I68" s="9">
        <f>ROUND(G68*H68,0)</f>
        <v>40</v>
      </c>
      <c r="J68" s="9">
        <f t="shared" si="4"/>
        <v>3695.06</v>
      </c>
      <c r="K68" s="10">
        <f t="shared" si="8"/>
        <v>200</v>
      </c>
      <c r="L68" s="16">
        <f t="shared" si="5"/>
        <v>1.847530000000001</v>
      </c>
    </row>
    <row r="69" spans="1:12" x14ac:dyDescent="0.25">
      <c r="A69" s="6"/>
      <c r="B69" s="6"/>
      <c r="C69" s="6"/>
      <c r="D69" s="6"/>
      <c r="E69" s="8"/>
      <c r="F69" s="6"/>
      <c r="G69" s="6"/>
      <c r="H69" s="7"/>
      <c r="I69" s="9"/>
      <c r="J69" s="9"/>
      <c r="K69" s="10"/>
      <c r="L69" s="16"/>
    </row>
    <row r="70" spans="1:12" x14ac:dyDescent="0.25">
      <c r="A70" s="6" t="s">
        <v>18</v>
      </c>
      <c r="B70" s="6">
        <v>1</v>
      </c>
      <c r="C70" s="6" t="str">
        <f>'[1]key drivers'!A$20</f>
        <v>P/L</v>
      </c>
      <c r="D70" s="6">
        <f>'[1]key drivers'!F$20</f>
        <v>104</v>
      </c>
      <c r="E70" s="8" t="s">
        <v>19</v>
      </c>
      <c r="F70" s="6">
        <v>5</v>
      </c>
      <c r="G70" s="6">
        <v>0.5</v>
      </c>
      <c r="H70" s="7">
        <f>ROUND(I70/G70,0)</f>
        <v>346</v>
      </c>
      <c r="I70" s="9">
        <v>173</v>
      </c>
      <c r="J70" s="9">
        <f>I70</f>
        <v>173</v>
      </c>
      <c r="K70" s="10">
        <f t="shared" si="8"/>
        <v>865</v>
      </c>
      <c r="L70" s="16">
        <f>K70/10000</f>
        <v>8.6499999999999994E-2</v>
      </c>
    </row>
    <row r="71" spans="1:12" x14ac:dyDescent="0.25">
      <c r="A71" s="6" t="s">
        <v>18</v>
      </c>
      <c r="B71" s="6">
        <v>2</v>
      </c>
      <c r="C71" s="6" t="str">
        <f>'[1]key drivers'!A$20</f>
        <v>P/L</v>
      </c>
      <c r="D71" s="6">
        <f>'[1]key drivers'!F$20</f>
        <v>104</v>
      </c>
      <c r="E71" s="8" t="s">
        <v>19</v>
      </c>
      <c r="F71" s="6">
        <v>5</v>
      </c>
      <c r="G71" s="6">
        <v>0.5</v>
      </c>
      <c r="H71" s="7">
        <f t="shared" ref="H71:H108" si="9">ROUND(I71/G71,0)</f>
        <v>346</v>
      </c>
      <c r="I71" s="9">
        <v>173</v>
      </c>
      <c r="J71" s="18">
        <f>I71+J70</f>
        <v>346</v>
      </c>
      <c r="K71" s="10">
        <f t="shared" si="8"/>
        <v>865</v>
      </c>
      <c r="L71" s="19">
        <f>K71/10000+L70</f>
        <v>0.17299999999999999</v>
      </c>
    </row>
    <row r="72" spans="1:12" x14ac:dyDescent="0.25">
      <c r="A72" s="20" t="s">
        <v>18</v>
      </c>
      <c r="B72" s="20">
        <v>3</v>
      </c>
      <c r="C72" s="20" t="str">
        <f>'[1]key drivers'!A$23</f>
        <v>G/S</v>
      </c>
      <c r="D72" s="20">
        <f>'[1]key drivers'!F$20</f>
        <v>104</v>
      </c>
      <c r="E72" s="21" t="s">
        <v>20</v>
      </c>
      <c r="F72" s="20">
        <v>4.5</v>
      </c>
      <c r="G72" s="20">
        <v>0.5</v>
      </c>
      <c r="H72" s="22">
        <f t="shared" si="9"/>
        <v>346</v>
      </c>
      <c r="I72" s="23">
        <v>173</v>
      </c>
      <c r="J72" s="24">
        <f t="shared" ref="J72:J108" si="10">I72+J71</f>
        <v>519</v>
      </c>
      <c r="K72" s="25">
        <f t="shared" si="8"/>
        <v>778.5</v>
      </c>
      <c r="L72" s="26">
        <f t="shared" ref="L72:L108" si="11">K72/10000+L71</f>
        <v>0.25085000000000002</v>
      </c>
    </row>
    <row r="73" spans="1:12" x14ac:dyDescent="0.25">
      <c r="A73" s="6" t="s">
        <v>18</v>
      </c>
      <c r="B73" s="6">
        <v>4</v>
      </c>
      <c r="C73" s="6" t="str">
        <f>'[1]key drivers'!A$23</f>
        <v>G/S</v>
      </c>
      <c r="D73" s="6">
        <f>'[1]key drivers'!F$20</f>
        <v>104</v>
      </c>
      <c r="E73" s="8" t="s">
        <v>20</v>
      </c>
      <c r="F73" s="6">
        <v>4.5</v>
      </c>
      <c r="G73" s="6">
        <v>0.5</v>
      </c>
      <c r="H73" s="7">
        <f t="shared" si="9"/>
        <v>344</v>
      </c>
      <c r="I73" s="9">
        <v>172</v>
      </c>
      <c r="J73" s="18">
        <f t="shared" si="10"/>
        <v>691</v>
      </c>
      <c r="K73" s="10">
        <f t="shared" si="8"/>
        <v>774</v>
      </c>
      <c r="L73" s="19">
        <f t="shared" si="11"/>
        <v>0.32825000000000004</v>
      </c>
    </row>
    <row r="74" spans="1:12" x14ac:dyDescent="0.25">
      <c r="A74" s="6" t="s">
        <v>18</v>
      </c>
      <c r="B74" s="6">
        <v>5</v>
      </c>
      <c r="C74" s="6" t="str">
        <f>'[1]key drivers'!A$23</f>
        <v>G/S</v>
      </c>
      <c r="D74" s="6">
        <f>'[1]key drivers'!F$20</f>
        <v>104</v>
      </c>
      <c r="E74" s="8" t="s">
        <v>20</v>
      </c>
      <c r="F74" s="6">
        <v>4.5</v>
      </c>
      <c r="G74" s="6">
        <v>0.5</v>
      </c>
      <c r="H74" s="7">
        <f t="shared" si="9"/>
        <v>344</v>
      </c>
      <c r="I74" s="9">
        <v>172</v>
      </c>
      <c r="J74" s="18">
        <f t="shared" si="10"/>
        <v>863</v>
      </c>
      <c r="K74" s="10">
        <f t="shared" si="8"/>
        <v>774</v>
      </c>
      <c r="L74" s="19">
        <f t="shared" si="11"/>
        <v>0.40565000000000007</v>
      </c>
    </row>
    <row r="75" spans="1:12" x14ac:dyDescent="0.25">
      <c r="A75" s="6" t="s">
        <v>18</v>
      </c>
      <c r="B75" s="6">
        <v>6</v>
      </c>
      <c r="C75" s="6" t="str">
        <f>'[1]key drivers'!A$23</f>
        <v>G/S</v>
      </c>
      <c r="D75" s="6">
        <f>'[1]key drivers'!F$20</f>
        <v>104</v>
      </c>
      <c r="E75" s="8" t="s">
        <v>20</v>
      </c>
      <c r="F75" s="6">
        <v>4.5</v>
      </c>
      <c r="G75" s="6">
        <v>0.5</v>
      </c>
      <c r="H75" s="7">
        <f t="shared" si="9"/>
        <v>342</v>
      </c>
      <c r="I75" s="9">
        <v>171</v>
      </c>
      <c r="J75" s="18">
        <f t="shared" si="10"/>
        <v>1034</v>
      </c>
      <c r="K75" s="10">
        <f t="shared" si="8"/>
        <v>769.5</v>
      </c>
      <c r="L75" s="19">
        <f t="shared" si="11"/>
        <v>0.48260000000000008</v>
      </c>
    </row>
    <row r="76" spans="1:12" x14ac:dyDescent="0.25">
      <c r="A76" s="6" t="s">
        <v>18</v>
      </c>
      <c r="B76" s="6">
        <v>7</v>
      </c>
      <c r="C76" s="6" t="str">
        <f>'[1]key drivers'!A$20</f>
        <v>P/L</v>
      </c>
      <c r="D76" s="6">
        <f>'[1]key drivers'!F$20</f>
        <v>104</v>
      </c>
      <c r="E76" s="8" t="s">
        <v>19</v>
      </c>
      <c r="F76" s="6">
        <v>5</v>
      </c>
      <c r="G76" s="6">
        <v>0.5</v>
      </c>
      <c r="H76" s="7">
        <f t="shared" si="9"/>
        <v>342</v>
      </c>
      <c r="I76" s="9">
        <v>171</v>
      </c>
      <c r="J76" s="18">
        <f t="shared" si="10"/>
        <v>1205</v>
      </c>
      <c r="K76" s="10">
        <f t="shared" si="8"/>
        <v>855</v>
      </c>
      <c r="L76" s="19">
        <f t="shared" si="11"/>
        <v>0.56810000000000005</v>
      </c>
    </row>
    <row r="77" spans="1:12" x14ac:dyDescent="0.25">
      <c r="A77" s="6" t="s">
        <v>18</v>
      </c>
      <c r="B77" s="6">
        <v>8</v>
      </c>
      <c r="C77" s="6" t="str">
        <f>'[1]key drivers'!A$23</f>
        <v>G/S</v>
      </c>
      <c r="D77" s="6">
        <f>'[1]key drivers'!F$20</f>
        <v>104</v>
      </c>
      <c r="E77" s="8" t="s">
        <v>20</v>
      </c>
      <c r="F77" s="6">
        <v>5</v>
      </c>
      <c r="G77" s="6">
        <v>0.5</v>
      </c>
      <c r="H77" s="7">
        <f t="shared" si="9"/>
        <v>340</v>
      </c>
      <c r="I77" s="9">
        <v>170</v>
      </c>
      <c r="J77" s="18">
        <f t="shared" si="10"/>
        <v>1375</v>
      </c>
      <c r="K77" s="10">
        <f t="shared" si="8"/>
        <v>850</v>
      </c>
      <c r="L77" s="19">
        <f t="shared" si="11"/>
        <v>0.65310000000000001</v>
      </c>
    </row>
    <row r="78" spans="1:12" x14ac:dyDescent="0.25">
      <c r="A78" s="6" t="s">
        <v>18</v>
      </c>
      <c r="B78" s="6">
        <v>9</v>
      </c>
      <c r="C78" s="6" t="str">
        <f>'[1]key drivers'!A$23</f>
        <v>G/S</v>
      </c>
      <c r="D78" s="6">
        <f>'[1]key drivers'!F$20</f>
        <v>104</v>
      </c>
      <c r="E78" s="8" t="s">
        <v>20</v>
      </c>
      <c r="F78" s="6">
        <v>4.5</v>
      </c>
      <c r="G78" s="6">
        <v>0.53</v>
      </c>
      <c r="H78" s="7">
        <f t="shared" si="9"/>
        <v>321</v>
      </c>
      <c r="I78" s="9">
        <v>170</v>
      </c>
      <c r="J78" s="18">
        <f t="shared" si="10"/>
        <v>1545</v>
      </c>
      <c r="K78" s="10">
        <f t="shared" si="8"/>
        <v>765</v>
      </c>
      <c r="L78" s="19">
        <f t="shared" si="11"/>
        <v>0.72960000000000003</v>
      </c>
    </row>
    <row r="79" spans="1:12" x14ac:dyDescent="0.25">
      <c r="A79" s="6" t="s">
        <v>18</v>
      </c>
      <c r="B79" s="6">
        <v>10</v>
      </c>
      <c r="C79" s="6" t="str">
        <f>'[1]key drivers'!A$23</f>
        <v>G/S</v>
      </c>
      <c r="D79" s="6">
        <f>'[1]key drivers'!F$20</f>
        <v>104</v>
      </c>
      <c r="E79" s="8" t="s">
        <v>20</v>
      </c>
      <c r="F79" s="6">
        <v>4.5</v>
      </c>
      <c r="G79" s="6">
        <v>0.5</v>
      </c>
      <c r="H79" s="7">
        <f t="shared" si="9"/>
        <v>340</v>
      </c>
      <c r="I79" s="9">
        <v>170</v>
      </c>
      <c r="J79" s="18">
        <f t="shared" si="10"/>
        <v>1715</v>
      </c>
      <c r="K79" s="10">
        <f t="shared" si="8"/>
        <v>765</v>
      </c>
      <c r="L79" s="19">
        <f t="shared" si="11"/>
        <v>0.80610000000000004</v>
      </c>
    </row>
    <row r="80" spans="1:12" x14ac:dyDescent="0.25">
      <c r="A80" s="6" t="s">
        <v>18</v>
      </c>
      <c r="B80" s="6">
        <v>11</v>
      </c>
      <c r="C80" s="6" t="str">
        <f>'[1]key drivers'!A$23</f>
        <v>G/S</v>
      </c>
      <c r="D80" s="6">
        <f>'[1]key drivers'!F$20</f>
        <v>104</v>
      </c>
      <c r="E80" s="8" t="s">
        <v>20</v>
      </c>
      <c r="F80" s="6">
        <v>4.5</v>
      </c>
      <c r="G80" s="6">
        <v>0.5</v>
      </c>
      <c r="H80" s="7">
        <f t="shared" si="9"/>
        <v>340</v>
      </c>
      <c r="I80" s="9">
        <v>170</v>
      </c>
      <c r="J80" s="18">
        <f t="shared" si="10"/>
        <v>1885</v>
      </c>
      <c r="K80" s="10">
        <f t="shared" si="8"/>
        <v>765</v>
      </c>
      <c r="L80" s="19">
        <f t="shared" si="11"/>
        <v>0.88260000000000005</v>
      </c>
    </row>
    <row r="81" spans="1:12" x14ac:dyDescent="0.25">
      <c r="A81" s="6" t="s">
        <v>18</v>
      </c>
      <c r="B81" s="6">
        <v>12</v>
      </c>
      <c r="C81" s="6" t="str">
        <f>'[1]key drivers'!A$20</f>
        <v>P/L</v>
      </c>
      <c r="D81" s="6">
        <f>'[1]key drivers'!F$20</f>
        <v>104</v>
      </c>
      <c r="E81" s="8" t="s">
        <v>21</v>
      </c>
      <c r="F81" s="6">
        <v>5</v>
      </c>
      <c r="G81" s="6">
        <v>0.5</v>
      </c>
      <c r="H81" s="7">
        <f t="shared" si="9"/>
        <v>340</v>
      </c>
      <c r="I81" s="9">
        <v>170</v>
      </c>
      <c r="J81" s="18">
        <f t="shared" si="10"/>
        <v>2055</v>
      </c>
      <c r="K81" s="10">
        <f t="shared" si="8"/>
        <v>850</v>
      </c>
      <c r="L81" s="19">
        <f t="shared" si="11"/>
        <v>0.96760000000000002</v>
      </c>
    </row>
    <row r="82" spans="1:12" x14ac:dyDescent="0.25">
      <c r="A82" s="20" t="s">
        <v>18</v>
      </c>
      <c r="B82" s="20">
        <v>13</v>
      </c>
      <c r="C82" s="20" t="str">
        <f>'[1]key drivers'!A$23</f>
        <v>G/S</v>
      </c>
      <c r="D82" s="20">
        <f>'[1]key drivers'!F$20</f>
        <v>104</v>
      </c>
      <c r="E82" s="21" t="s">
        <v>20</v>
      </c>
      <c r="F82" s="20">
        <v>5</v>
      </c>
      <c r="G82" s="20">
        <v>0.5</v>
      </c>
      <c r="H82" s="22">
        <f t="shared" si="9"/>
        <v>340</v>
      </c>
      <c r="I82" s="23">
        <v>170</v>
      </c>
      <c r="J82" s="24">
        <f t="shared" si="10"/>
        <v>2225</v>
      </c>
      <c r="K82" s="25">
        <f t="shared" si="8"/>
        <v>850</v>
      </c>
      <c r="L82" s="26">
        <f t="shared" si="11"/>
        <v>1.0526</v>
      </c>
    </row>
    <row r="83" spans="1:12" x14ac:dyDescent="0.25">
      <c r="A83" s="20" t="s">
        <v>18</v>
      </c>
      <c r="B83" s="20">
        <v>14</v>
      </c>
      <c r="C83" s="20" t="str">
        <f>'[1]key drivers'!A$23</f>
        <v>G/S</v>
      </c>
      <c r="D83" s="20">
        <f>'[1]key drivers'!F$20</f>
        <v>104</v>
      </c>
      <c r="E83" s="21" t="s">
        <v>20</v>
      </c>
      <c r="F83" s="20">
        <v>4.5</v>
      </c>
      <c r="G83" s="20">
        <v>0.52</v>
      </c>
      <c r="H83" s="22">
        <f t="shared" si="9"/>
        <v>327</v>
      </c>
      <c r="I83" s="23">
        <v>170</v>
      </c>
      <c r="J83" s="24">
        <f t="shared" si="10"/>
        <v>2395</v>
      </c>
      <c r="K83" s="25">
        <f t="shared" si="8"/>
        <v>765</v>
      </c>
      <c r="L83" s="26">
        <f t="shared" si="11"/>
        <v>1.1291</v>
      </c>
    </row>
    <row r="84" spans="1:12" x14ac:dyDescent="0.25">
      <c r="A84" s="20" t="s">
        <v>18</v>
      </c>
      <c r="B84" s="20">
        <v>15</v>
      </c>
      <c r="C84" s="20" t="str">
        <f>'[1]key drivers'!A$23</f>
        <v>G/S</v>
      </c>
      <c r="D84" s="20">
        <f>'[1]key drivers'!F$20</f>
        <v>104</v>
      </c>
      <c r="E84" s="21" t="s">
        <v>20</v>
      </c>
      <c r="F84" s="20">
        <v>4.5</v>
      </c>
      <c r="G84" s="20">
        <v>0.5</v>
      </c>
      <c r="H84" s="22">
        <f t="shared" si="9"/>
        <v>340</v>
      </c>
      <c r="I84" s="23">
        <v>170</v>
      </c>
      <c r="J84" s="24">
        <f t="shared" si="10"/>
        <v>2565</v>
      </c>
      <c r="K84" s="25">
        <f t="shared" si="8"/>
        <v>765</v>
      </c>
      <c r="L84" s="26">
        <f t="shared" si="11"/>
        <v>1.2056</v>
      </c>
    </row>
    <row r="85" spans="1:12" x14ac:dyDescent="0.25">
      <c r="A85" s="20" t="s">
        <v>18</v>
      </c>
      <c r="B85" s="20">
        <v>16</v>
      </c>
      <c r="C85" s="20" t="str">
        <f>'[1]key drivers'!A$23</f>
        <v>G/S</v>
      </c>
      <c r="D85" s="20">
        <f>'[1]key drivers'!F$20</f>
        <v>104</v>
      </c>
      <c r="E85" s="21" t="s">
        <v>20</v>
      </c>
      <c r="F85" s="20">
        <v>4.5</v>
      </c>
      <c r="G85" s="20">
        <v>0.5</v>
      </c>
      <c r="H85" s="22">
        <f t="shared" si="9"/>
        <v>338</v>
      </c>
      <c r="I85" s="23">
        <v>169</v>
      </c>
      <c r="J85" s="24">
        <f t="shared" si="10"/>
        <v>2734</v>
      </c>
      <c r="K85" s="25">
        <f t="shared" si="8"/>
        <v>760.5</v>
      </c>
      <c r="L85" s="26">
        <f t="shared" si="11"/>
        <v>1.28165</v>
      </c>
    </row>
    <row r="86" spans="1:12" x14ac:dyDescent="0.25">
      <c r="A86" s="6" t="s">
        <v>18</v>
      </c>
      <c r="B86" s="6">
        <v>17</v>
      </c>
      <c r="C86" s="6" t="str">
        <f>'[1]key drivers'!A$20</f>
        <v>P/L</v>
      </c>
      <c r="D86" s="6">
        <f>'[1]key drivers'!F$22</f>
        <v>109</v>
      </c>
      <c r="E86" s="8" t="s">
        <v>14</v>
      </c>
      <c r="F86" s="6">
        <v>5</v>
      </c>
      <c r="G86" s="6">
        <v>0.5</v>
      </c>
      <c r="H86" s="7">
        <f t="shared" si="9"/>
        <v>340</v>
      </c>
      <c r="I86" s="9">
        <v>170</v>
      </c>
      <c r="J86" s="18">
        <f t="shared" si="10"/>
        <v>2904</v>
      </c>
      <c r="K86" s="10">
        <f t="shared" si="8"/>
        <v>850</v>
      </c>
      <c r="L86" s="19">
        <f t="shared" si="11"/>
        <v>1.3666499999999999</v>
      </c>
    </row>
    <row r="87" spans="1:12" x14ac:dyDescent="0.25">
      <c r="A87" s="6" t="s">
        <v>18</v>
      </c>
      <c r="B87" s="6">
        <v>18</v>
      </c>
      <c r="C87" s="6" t="str">
        <f>'[1]key drivers'!A$23</f>
        <v>G/S</v>
      </c>
      <c r="D87" s="6">
        <f>'[1]key drivers'!F$20</f>
        <v>104</v>
      </c>
      <c r="E87" s="8" t="s">
        <v>14</v>
      </c>
      <c r="F87" s="6">
        <v>5</v>
      </c>
      <c r="G87" s="6">
        <v>0.5</v>
      </c>
      <c r="H87" s="7">
        <f t="shared" si="9"/>
        <v>340</v>
      </c>
      <c r="I87" s="9">
        <v>170</v>
      </c>
      <c r="J87" s="18">
        <f t="shared" si="10"/>
        <v>3074</v>
      </c>
      <c r="K87" s="10">
        <f t="shared" si="8"/>
        <v>850</v>
      </c>
      <c r="L87" s="19">
        <f t="shared" si="11"/>
        <v>1.4516499999999999</v>
      </c>
    </row>
    <row r="88" spans="1:12" x14ac:dyDescent="0.25">
      <c r="A88" s="6" t="s">
        <v>18</v>
      </c>
      <c r="B88" s="6">
        <v>19</v>
      </c>
      <c r="C88" s="6" t="str">
        <f>'[1]key drivers'!A$23</f>
        <v>G/S</v>
      </c>
      <c r="D88" s="6">
        <f>'[1]key drivers'!F$20</f>
        <v>104</v>
      </c>
      <c r="E88" s="8" t="s">
        <v>14</v>
      </c>
      <c r="F88" s="6">
        <v>5</v>
      </c>
      <c r="G88" s="6">
        <v>0.37</v>
      </c>
      <c r="H88" s="7">
        <f t="shared" si="9"/>
        <v>459</v>
      </c>
      <c r="I88" s="9">
        <v>170</v>
      </c>
      <c r="J88" s="18">
        <f t="shared" si="10"/>
        <v>3244</v>
      </c>
      <c r="K88" s="10">
        <f t="shared" si="8"/>
        <v>850</v>
      </c>
      <c r="L88" s="19">
        <f t="shared" si="11"/>
        <v>1.5366499999999998</v>
      </c>
    </row>
    <row r="89" spans="1:12" x14ac:dyDescent="0.25">
      <c r="A89" s="6" t="s">
        <v>18</v>
      </c>
      <c r="B89" s="6">
        <v>20</v>
      </c>
      <c r="C89" s="6" t="str">
        <f>'[1]key drivers'!A$23</f>
        <v>G/S</v>
      </c>
      <c r="D89" s="6">
        <f>'[1]key drivers'!F$20</f>
        <v>104</v>
      </c>
      <c r="E89" s="8" t="s">
        <v>14</v>
      </c>
      <c r="F89" s="6">
        <v>5</v>
      </c>
      <c r="G89" s="6">
        <v>0.5</v>
      </c>
      <c r="H89" s="7">
        <f t="shared" si="9"/>
        <v>340</v>
      </c>
      <c r="I89" s="9">
        <v>170</v>
      </c>
      <c r="J89" s="18">
        <f t="shared" si="10"/>
        <v>3414</v>
      </c>
      <c r="K89" s="10">
        <f t="shared" si="8"/>
        <v>850</v>
      </c>
      <c r="L89" s="19">
        <f t="shared" si="11"/>
        <v>1.6216499999999998</v>
      </c>
    </row>
    <row r="90" spans="1:12" x14ac:dyDescent="0.25">
      <c r="A90" s="6" t="s">
        <v>18</v>
      </c>
      <c r="B90" s="6">
        <v>21</v>
      </c>
      <c r="C90" s="6" t="str">
        <f>'[1]key drivers'!A$23</f>
        <v>G/S</v>
      </c>
      <c r="D90" s="6">
        <f>'[1]key drivers'!F$20</f>
        <v>104</v>
      </c>
      <c r="E90" s="8" t="s">
        <v>14</v>
      </c>
      <c r="F90" s="6">
        <v>5</v>
      </c>
      <c r="G90" s="6">
        <v>0.5</v>
      </c>
      <c r="H90" s="7">
        <f t="shared" si="9"/>
        <v>336</v>
      </c>
      <c r="I90" s="9">
        <v>168</v>
      </c>
      <c r="J90" s="18">
        <f t="shared" si="10"/>
        <v>3582</v>
      </c>
      <c r="K90" s="10">
        <f t="shared" si="8"/>
        <v>840</v>
      </c>
      <c r="L90" s="19">
        <f t="shared" si="11"/>
        <v>1.7056499999999999</v>
      </c>
    </row>
    <row r="91" spans="1:12" x14ac:dyDescent="0.25">
      <c r="A91" s="6" t="s">
        <v>18</v>
      </c>
      <c r="B91" s="6">
        <v>22</v>
      </c>
      <c r="C91" s="6" t="str">
        <f>'[1]key drivers'!A$20</f>
        <v>P/L</v>
      </c>
      <c r="D91" s="6">
        <f>'[1]key drivers'!F$22</f>
        <v>109</v>
      </c>
      <c r="E91" s="8" t="s">
        <v>14</v>
      </c>
      <c r="F91" s="6">
        <v>5</v>
      </c>
      <c r="G91" s="6">
        <v>0.5</v>
      </c>
      <c r="H91" s="7">
        <f t="shared" si="9"/>
        <v>336</v>
      </c>
      <c r="I91" s="9">
        <v>168</v>
      </c>
      <c r="J91" s="18">
        <f t="shared" si="10"/>
        <v>3750</v>
      </c>
      <c r="K91" s="10">
        <f t="shared" si="8"/>
        <v>840</v>
      </c>
      <c r="L91" s="19">
        <f t="shared" si="11"/>
        <v>1.78965</v>
      </c>
    </row>
    <row r="92" spans="1:12" x14ac:dyDescent="0.25">
      <c r="A92" s="6" t="s">
        <v>18</v>
      </c>
      <c r="B92" s="6">
        <v>23</v>
      </c>
      <c r="C92" s="6" t="str">
        <f>'[1]key drivers'!A$23</f>
        <v>G/S</v>
      </c>
      <c r="D92" s="6">
        <f>'[1]key drivers'!F$20</f>
        <v>104</v>
      </c>
      <c r="E92" s="8" t="s">
        <v>14</v>
      </c>
      <c r="F92" s="6">
        <v>5</v>
      </c>
      <c r="G92" s="6">
        <v>0.5</v>
      </c>
      <c r="H92" s="7">
        <f t="shared" si="9"/>
        <v>336</v>
      </c>
      <c r="I92" s="9">
        <v>168</v>
      </c>
      <c r="J92" s="18">
        <f t="shared" si="10"/>
        <v>3918</v>
      </c>
      <c r="K92" s="10">
        <f t="shared" si="8"/>
        <v>840</v>
      </c>
      <c r="L92" s="19">
        <f t="shared" si="11"/>
        <v>1.87365</v>
      </c>
    </row>
    <row r="93" spans="1:12" x14ac:dyDescent="0.25">
      <c r="A93" s="6" t="s">
        <v>18</v>
      </c>
      <c r="B93" s="6">
        <v>24</v>
      </c>
      <c r="C93" s="6" t="str">
        <f>'[1]key drivers'!A$23</f>
        <v>G/S</v>
      </c>
      <c r="D93" s="6">
        <f>'[1]key drivers'!F$20</f>
        <v>104</v>
      </c>
      <c r="E93" s="8" t="s">
        <v>14</v>
      </c>
      <c r="F93" s="6">
        <v>5</v>
      </c>
      <c r="G93" s="6">
        <v>0.5</v>
      </c>
      <c r="H93" s="7">
        <f t="shared" si="9"/>
        <v>334</v>
      </c>
      <c r="I93" s="9">
        <v>167</v>
      </c>
      <c r="J93" s="18">
        <f t="shared" si="10"/>
        <v>4085</v>
      </c>
      <c r="K93" s="10">
        <f t="shared" si="8"/>
        <v>835</v>
      </c>
      <c r="L93" s="19">
        <f t="shared" si="11"/>
        <v>1.9571499999999999</v>
      </c>
    </row>
    <row r="94" spans="1:12" x14ac:dyDescent="0.25">
      <c r="A94" s="6" t="s">
        <v>18</v>
      </c>
      <c r="B94" s="6">
        <v>25</v>
      </c>
      <c r="C94" s="6" t="str">
        <f>'[1]key drivers'!A$23</f>
        <v>G/S</v>
      </c>
      <c r="D94" s="6">
        <f>'[1]key drivers'!F$20</f>
        <v>104</v>
      </c>
      <c r="E94" s="8" t="s">
        <v>14</v>
      </c>
      <c r="F94" s="6">
        <v>5</v>
      </c>
      <c r="G94" s="6">
        <v>0.5</v>
      </c>
      <c r="H94" s="7">
        <f t="shared" si="9"/>
        <v>334</v>
      </c>
      <c r="I94" s="9">
        <v>167</v>
      </c>
      <c r="J94" s="18">
        <f t="shared" si="10"/>
        <v>4252</v>
      </c>
      <c r="K94" s="10">
        <f t="shared" si="8"/>
        <v>835</v>
      </c>
      <c r="L94" s="19">
        <f t="shared" si="11"/>
        <v>2.0406499999999999</v>
      </c>
    </row>
    <row r="95" spans="1:12" x14ac:dyDescent="0.25">
      <c r="A95" s="6" t="s">
        <v>18</v>
      </c>
      <c r="B95" s="6">
        <v>26</v>
      </c>
      <c r="C95" s="6" t="str">
        <f>'[1]key drivers'!A$23</f>
        <v>G/S</v>
      </c>
      <c r="D95" s="6">
        <f>'[1]key drivers'!F$20</f>
        <v>104</v>
      </c>
      <c r="E95" s="8" t="s">
        <v>14</v>
      </c>
      <c r="F95" s="6">
        <v>5</v>
      </c>
      <c r="G95" s="6">
        <v>0.5</v>
      </c>
      <c r="H95" s="7">
        <f t="shared" si="9"/>
        <v>334</v>
      </c>
      <c r="I95" s="9">
        <v>167</v>
      </c>
      <c r="J95" s="18">
        <f t="shared" si="10"/>
        <v>4419</v>
      </c>
      <c r="K95" s="10">
        <f t="shared" si="8"/>
        <v>835</v>
      </c>
      <c r="L95" s="19">
        <f t="shared" si="11"/>
        <v>2.1241499999999998</v>
      </c>
    </row>
    <row r="96" spans="1:12" x14ac:dyDescent="0.25">
      <c r="A96" s="6" t="s">
        <v>18</v>
      </c>
      <c r="B96" s="6">
        <v>27</v>
      </c>
      <c r="C96" s="6" t="str">
        <f>'[1]key drivers'!A$20</f>
        <v>P/L</v>
      </c>
      <c r="D96" s="6">
        <f>'[1]key drivers'!F$22</f>
        <v>109</v>
      </c>
      <c r="E96" s="8" t="s">
        <v>14</v>
      </c>
      <c r="F96" s="6">
        <v>5</v>
      </c>
      <c r="G96" s="6">
        <v>0.5</v>
      </c>
      <c r="H96" s="7">
        <f t="shared" si="9"/>
        <v>334</v>
      </c>
      <c r="I96" s="9">
        <v>167</v>
      </c>
      <c r="J96" s="18">
        <f t="shared" si="10"/>
        <v>4586</v>
      </c>
      <c r="K96" s="10">
        <f t="shared" si="8"/>
        <v>835</v>
      </c>
      <c r="L96" s="19">
        <f t="shared" si="11"/>
        <v>2.2076499999999997</v>
      </c>
    </row>
    <row r="97" spans="1:12" x14ac:dyDescent="0.25">
      <c r="A97" s="6" t="s">
        <v>18</v>
      </c>
      <c r="B97" s="6">
        <v>28</v>
      </c>
      <c r="C97" s="6" t="str">
        <f>'[1]key drivers'!A$23</f>
        <v>G/S</v>
      </c>
      <c r="D97" s="6">
        <f>'[1]key drivers'!F$22</f>
        <v>109</v>
      </c>
      <c r="E97" s="8" t="s">
        <v>14</v>
      </c>
      <c r="F97" s="6">
        <v>5</v>
      </c>
      <c r="G97" s="6">
        <v>0.5</v>
      </c>
      <c r="H97" s="7">
        <f t="shared" si="9"/>
        <v>78</v>
      </c>
      <c r="I97" s="9">
        <v>39</v>
      </c>
      <c r="J97" s="18">
        <f t="shared" si="10"/>
        <v>4625</v>
      </c>
      <c r="K97" s="10">
        <f t="shared" si="8"/>
        <v>195</v>
      </c>
      <c r="L97" s="19">
        <f t="shared" si="11"/>
        <v>2.2271499999999995</v>
      </c>
    </row>
    <row r="98" spans="1:12" x14ac:dyDescent="0.25">
      <c r="A98" s="6" t="s">
        <v>18</v>
      </c>
      <c r="B98" s="12">
        <v>28</v>
      </c>
      <c r="C98" s="6" t="str">
        <f>'[1]key drivers'!A$23</f>
        <v>G/S</v>
      </c>
      <c r="D98" s="6">
        <f>'[1]key drivers'!F$20</f>
        <v>104</v>
      </c>
      <c r="E98" s="8" t="s">
        <v>14</v>
      </c>
      <c r="F98" s="12">
        <v>5</v>
      </c>
      <c r="G98" s="12">
        <v>0.5</v>
      </c>
      <c r="H98" s="7">
        <f t="shared" si="9"/>
        <v>256</v>
      </c>
      <c r="I98" s="18">
        <v>128</v>
      </c>
      <c r="J98" s="18">
        <f t="shared" si="10"/>
        <v>4753</v>
      </c>
      <c r="K98" s="10">
        <f t="shared" si="8"/>
        <v>640</v>
      </c>
      <c r="L98" s="19">
        <f t="shared" si="11"/>
        <v>2.2911499999999996</v>
      </c>
    </row>
    <row r="99" spans="1:12" x14ac:dyDescent="0.25">
      <c r="A99" s="6" t="s">
        <v>18</v>
      </c>
      <c r="B99" s="6">
        <v>29</v>
      </c>
      <c r="C99" s="6" t="str">
        <f>'[1]key drivers'!A$23</f>
        <v>G/S</v>
      </c>
      <c r="D99" s="6">
        <f>'[1]key drivers'!F$22</f>
        <v>109</v>
      </c>
      <c r="E99" s="8" t="s">
        <v>14</v>
      </c>
      <c r="F99" s="6">
        <v>5</v>
      </c>
      <c r="G99" s="6">
        <v>0.5</v>
      </c>
      <c r="H99" s="7">
        <f t="shared" si="9"/>
        <v>334</v>
      </c>
      <c r="I99" s="18">
        <v>167</v>
      </c>
      <c r="J99" s="18">
        <f t="shared" si="10"/>
        <v>4920</v>
      </c>
      <c r="K99" s="10">
        <f t="shared" si="8"/>
        <v>835</v>
      </c>
      <c r="L99" s="19">
        <f t="shared" si="11"/>
        <v>2.3746499999999995</v>
      </c>
    </row>
    <row r="100" spans="1:12" x14ac:dyDescent="0.25">
      <c r="A100" s="6" t="s">
        <v>18</v>
      </c>
      <c r="B100" s="6">
        <v>30</v>
      </c>
      <c r="C100" s="6" t="str">
        <f>'[1]key drivers'!A$23</f>
        <v>G/S</v>
      </c>
      <c r="D100" s="6">
        <f>'[1]key drivers'!F$22</f>
        <v>109</v>
      </c>
      <c r="E100" s="8" t="s">
        <v>14</v>
      </c>
      <c r="F100" s="6">
        <v>5</v>
      </c>
      <c r="G100" s="6">
        <v>0.5</v>
      </c>
      <c r="H100" s="7">
        <f t="shared" si="9"/>
        <v>334</v>
      </c>
      <c r="I100" s="18">
        <v>167</v>
      </c>
      <c r="J100" s="18">
        <f t="shared" si="10"/>
        <v>5087</v>
      </c>
      <c r="K100" s="10">
        <f t="shared" si="8"/>
        <v>835</v>
      </c>
      <c r="L100" s="19">
        <f t="shared" si="11"/>
        <v>2.4581499999999994</v>
      </c>
    </row>
    <row r="101" spans="1:12" x14ac:dyDescent="0.25">
      <c r="A101" s="6" t="s">
        <v>18</v>
      </c>
      <c r="B101" s="6">
        <v>31</v>
      </c>
      <c r="C101" s="6" t="str">
        <f>'[1]key drivers'!A$23</f>
        <v>G/S</v>
      </c>
      <c r="D101" s="6">
        <f>'[1]key drivers'!F$22</f>
        <v>109</v>
      </c>
      <c r="E101" s="8" t="s">
        <v>14</v>
      </c>
      <c r="F101" s="6">
        <v>5</v>
      </c>
      <c r="G101" s="6">
        <v>0.5</v>
      </c>
      <c r="H101" s="7">
        <f t="shared" si="9"/>
        <v>334</v>
      </c>
      <c r="I101" s="18">
        <v>167</v>
      </c>
      <c r="J101" s="18">
        <f t="shared" si="10"/>
        <v>5254</v>
      </c>
      <c r="K101" s="10">
        <f t="shared" si="8"/>
        <v>835</v>
      </c>
      <c r="L101" s="19">
        <f t="shared" si="11"/>
        <v>2.5416499999999993</v>
      </c>
    </row>
    <row r="102" spans="1:12" x14ac:dyDescent="0.25">
      <c r="A102" s="6" t="s">
        <v>18</v>
      </c>
      <c r="B102" s="6">
        <v>32</v>
      </c>
      <c r="C102" s="6" t="str">
        <f>'[1]key drivers'!A$23</f>
        <v>G/S</v>
      </c>
      <c r="D102" s="6">
        <f>'[1]key drivers'!F$22</f>
        <v>109</v>
      </c>
      <c r="E102" s="8" t="s">
        <v>14</v>
      </c>
      <c r="F102" s="6">
        <v>5</v>
      </c>
      <c r="G102" s="6">
        <v>0.5</v>
      </c>
      <c r="H102" s="7">
        <f t="shared" si="9"/>
        <v>152</v>
      </c>
      <c r="I102" s="18">
        <v>76</v>
      </c>
      <c r="J102" s="18">
        <f t="shared" si="10"/>
        <v>5330</v>
      </c>
      <c r="K102" s="10">
        <f t="shared" si="8"/>
        <v>380</v>
      </c>
      <c r="L102" s="19">
        <f t="shared" si="11"/>
        <v>2.5796499999999991</v>
      </c>
    </row>
    <row r="103" spans="1:12" x14ac:dyDescent="0.25">
      <c r="A103" s="6" t="s">
        <v>18</v>
      </c>
      <c r="B103" s="6">
        <v>32</v>
      </c>
      <c r="C103" s="6" t="str">
        <f>'[1]key drivers'!A$20</f>
        <v>P/L</v>
      </c>
      <c r="D103" s="6">
        <f>'[1]key drivers'!F$21</f>
        <v>106</v>
      </c>
      <c r="E103" s="8" t="s">
        <v>14</v>
      </c>
      <c r="F103" s="6">
        <v>5</v>
      </c>
      <c r="G103" s="6">
        <v>0.5</v>
      </c>
      <c r="H103" s="7">
        <f t="shared" si="9"/>
        <v>180</v>
      </c>
      <c r="I103" s="27">
        <v>90</v>
      </c>
      <c r="J103" s="18">
        <f t="shared" si="10"/>
        <v>5420</v>
      </c>
      <c r="K103" s="10">
        <f t="shared" si="8"/>
        <v>450</v>
      </c>
      <c r="L103" s="19">
        <f t="shared" si="11"/>
        <v>2.624649999999999</v>
      </c>
    </row>
    <row r="104" spans="1:12" x14ac:dyDescent="0.25">
      <c r="A104" s="6" t="s">
        <v>18</v>
      </c>
      <c r="B104" s="6">
        <v>33</v>
      </c>
      <c r="C104" s="6" t="str">
        <f>'[1]key drivers'!A$20</f>
        <v>P/L</v>
      </c>
      <c r="D104" s="6">
        <f>'[1]key drivers'!F$21</f>
        <v>106</v>
      </c>
      <c r="E104" s="8" t="s">
        <v>14</v>
      </c>
      <c r="F104" s="6">
        <v>5</v>
      </c>
      <c r="G104" s="6">
        <v>0.5</v>
      </c>
      <c r="H104" s="7">
        <f t="shared" si="9"/>
        <v>332</v>
      </c>
      <c r="I104" s="18">
        <v>166</v>
      </c>
      <c r="J104" s="18">
        <f t="shared" si="10"/>
        <v>5586</v>
      </c>
      <c r="K104" s="10">
        <f t="shared" si="8"/>
        <v>830</v>
      </c>
      <c r="L104" s="19">
        <f t="shared" si="11"/>
        <v>2.7076499999999992</v>
      </c>
    </row>
    <row r="105" spans="1:12" x14ac:dyDescent="0.25">
      <c r="A105" s="6" t="s">
        <v>18</v>
      </c>
      <c r="B105" s="6">
        <v>34</v>
      </c>
      <c r="C105" s="6" t="str">
        <f>'[1]key drivers'!A$20</f>
        <v>P/L</v>
      </c>
      <c r="D105" s="6">
        <f>'[1]key drivers'!F$21</f>
        <v>106</v>
      </c>
      <c r="E105" s="8" t="s">
        <v>14</v>
      </c>
      <c r="F105" s="6">
        <v>5</v>
      </c>
      <c r="G105" s="6">
        <v>0.5</v>
      </c>
      <c r="H105" s="7">
        <f t="shared" si="9"/>
        <v>332</v>
      </c>
      <c r="I105" s="18">
        <v>166</v>
      </c>
      <c r="J105" s="18">
        <f t="shared" si="10"/>
        <v>5752</v>
      </c>
      <c r="K105" s="10">
        <f t="shared" si="8"/>
        <v>830</v>
      </c>
      <c r="L105" s="19">
        <f t="shared" si="11"/>
        <v>2.7906499999999994</v>
      </c>
    </row>
    <row r="106" spans="1:12" x14ac:dyDescent="0.25">
      <c r="A106" s="6" t="s">
        <v>18</v>
      </c>
      <c r="B106" s="6">
        <v>35</v>
      </c>
      <c r="C106" s="6" t="str">
        <f>'[1]key drivers'!A$20</f>
        <v>P/L</v>
      </c>
      <c r="D106" s="6">
        <f>'[1]key drivers'!F$21</f>
        <v>106</v>
      </c>
      <c r="E106" s="8" t="s">
        <v>14</v>
      </c>
      <c r="F106" s="6">
        <v>5</v>
      </c>
      <c r="G106" s="6">
        <v>0.5</v>
      </c>
      <c r="H106" s="7">
        <f t="shared" si="9"/>
        <v>76</v>
      </c>
      <c r="I106" s="18">
        <v>38</v>
      </c>
      <c r="J106" s="18">
        <f t="shared" si="10"/>
        <v>5790</v>
      </c>
      <c r="K106" s="10">
        <f t="shared" si="8"/>
        <v>190</v>
      </c>
      <c r="L106" s="19">
        <f t="shared" si="11"/>
        <v>2.8096499999999995</v>
      </c>
    </row>
    <row r="107" spans="1:12" x14ac:dyDescent="0.25">
      <c r="A107" s="6" t="s">
        <v>18</v>
      </c>
      <c r="B107" s="12">
        <v>35</v>
      </c>
      <c r="C107" s="6" t="str">
        <f>'[1]key drivers'!A$20</f>
        <v>P/L</v>
      </c>
      <c r="D107" s="6">
        <f>'[1]key drivers'!F$20</f>
        <v>104</v>
      </c>
      <c r="E107" s="8" t="s">
        <v>14</v>
      </c>
      <c r="F107" s="12">
        <v>5</v>
      </c>
      <c r="G107" s="12">
        <v>0.5</v>
      </c>
      <c r="H107" s="7">
        <f t="shared" si="9"/>
        <v>166</v>
      </c>
      <c r="I107" s="18">
        <v>83</v>
      </c>
      <c r="J107" s="18">
        <f t="shared" si="10"/>
        <v>5873</v>
      </c>
      <c r="K107" s="10">
        <f t="shared" si="8"/>
        <v>415</v>
      </c>
      <c r="L107" s="19">
        <f t="shared" si="11"/>
        <v>2.8511499999999996</v>
      </c>
    </row>
    <row r="108" spans="1:12" x14ac:dyDescent="0.25">
      <c r="A108" s="6" t="s">
        <v>18</v>
      </c>
      <c r="B108" s="12">
        <v>35</v>
      </c>
      <c r="C108" s="6" t="str">
        <f>'[1]key drivers'!A$20</f>
        <v>P/L</v>
      </c>
      <c r="D108" s="6">
        <f>'[1]key drivers'!F$22</f>
        <v>109</v>
      </c>
      <c r="E108" s="8" t="s">
        <v>14</v>
      </c>
      <c r="F108" s="12">
        <v>5</v>
      </c>
      <c r="G108" s="12">
        <v>0.5</v>
      </c>
      <c r="H108" s="7">
        <f t="shared" si="9"/>
        <v>90</v>
      </c>
      <c r="I108" s="27">
        <v>45</v>
      </c>
      <c r="J108" s="18">
        <f t="shared" si="10"/>
        <v>5918</v>
      </c>
      <c r="K108" s="10">
        <f t="shared" si="8"/>
        <v>225</v>
      </c>
      <c r="L108" s="19">
        <f t="shared" si="11"/>
        <v>2.8736499999999996</v>
      </c>
    </row>
    <row r="109" spans="1:12" x14ac:dyDescent="0.25">
      <c r="A109" s="6"/>
      <c r="B109" s="12"/>
      <c r="C109" s="6"/>
      <c r="D109" s="6"/>
      <c r="E109" s="8"/>
      <c r="F109" s="12"/>
      <c r="G109" s="12"/>
      <c r="H109" s="7"/>
      <c r="I109" s="27"/>
      <c r="J109" s="18"/>
      <c r="K109" s="10"/>
      <c r="L109" s="19"/>
    </row>
    <row r="110" spans="1:12" x14ac:dyDescent="0.25">
      <c r="A110" s="6"/>
      <c r="B110" s="6"/>
      <c r="C110" s="6"/>
      <c r="D110" s="6"/>
      <c r="E110" s="8"/>
      <c r="F110" s="6"/>
      <c r="G110" s="6"/>
      <c r="H110" s="7"/>
      <c r="I110" s="9"/>
      <c r="J110" s="9"/>
      <c r="K110" s="10"/>
      <c r="L110" s="16"/>
    </row>
    <row r="111" spans="1:12" x14ac:dyDescent="0.25">
      <c r="A111" s="6" t="s">
        <v>22</v>
      </c>
      <c r="B111" s="6">
        <v>12</v>
      </c>
      <c r="C111" s="6" t="str">
        <f>'[1]key drivers'!A$69</f>
        <v>Rain</v>
      </c>
      <c r="D111" s="6" t="str">
        <f>'[1]key drivers'!F$62</f>
        <v>Mazzard</v>
      </c>
      <c r="E111" s="8" t="s">
        <v>23</v>
      </c>
      <c r="F111" s="6">
        <v>5</v>
      </c>
      <c r="G111" s="6">
        <v>1</v>
      </c>
      <c r="H111" s="28">
        <f t="shared" ref="H111:H139" si="12">I111/G111</f>
        <v>173</v>
      </c>
      <c r="I111" s="9">
        <v>173</v>
      </c>
      <c r="J111" s="9" t="e">
        <f>I111+#REF!</f>
        <v>#REF!</v>
      </c>
      <c r="K111" s="10">
        <f t="shared" ref="K111:K139" si="13">F111*I111</f>
        <v>865</v>
      </c>
      <c r="L111" s="16" t="e">
        <f>K111/10000+#REF!</f>
        <v>#REF!</v>
      </c>
    </row>
    <row r="112" spans="1:12" x14ac:dyDescent="0.25">
      <c r="A112" s="6" t="s">
        <v>22</v>
      </c>
      <c r="B112" s="6">
        <v>13</v>
      </c>
      <c r="C112" s="6" t="s">
        <v>24</v>
      </c>
      <c r="D112" s="6" t="str">
        <f>'[1]key drivers'!F$62</f>
        <v>Mazzard</v>
      </c>
      <c r="E112" s="8">
        <v>2021</v>
      </c>
      <c r="F112" s="6">
        <v>5</v>
      </c>
      <c r="G112" s="6">
        <v>1</v>
      </c>
      <c r="H112" s="28">
        <f t="shared" si="12"/>
        <v>172</v>
      </c>
      <c r="I112" s="9">
        <v>172</v>
      </c>
      <c r="J112" s="9" t="e">
        <f t="shared" ref="J112:J139" si="14">I112+J111</f>
        <v>#REF!</v>
      </c>
      <c r="K112" s="10">
        <f t="shared" si="13"/>
        <v>860</v>
      </c>
      <c r="L112" s="16" t="e">
        <f t="shared" ref="L112:L139" si="15">K112/10000+L111</f>
        <v>#REF!</v>
      </c>
    </row>
    <row r="113" spans="1:12" x14ac:dyDescent="0.25">
      <c r="A113" s="6" t="s">
        <v>22</v>
      </c>
      <c r="B113" s="6">
        <v>14</v>
      </c>
      <c r="C113" s="6" t="s">
        <v>25</v>
      </c>
      <c r="D113" s="6" t="str">
        <f>'[1]key drivers'!F$62</f>
        <v>Mazzard</v>
      </c>
      <c r="E113" s="8">
        <v>2021</v>
      </c>
      <c r="F113" s="6">
        <v>5</v>
      </c>
      <c r="G113" s="6">
        <v>1</v>
      </c>
      <c r="H113" s="28">
        <f t="shared" si="12"/>
        <v>172</v>
      </c>
      <c r="I113" s="9">
        <v>172</v>
      </c>
      <c r="J113" s="9" t="e">
        <f t="shared" si="14"/>
        <v>#REF!</v>
      </c>
      <c r="K113" s="10">
        <f t="shared" si="13"/>
        <v>860</v>
      </c>
      <c r="L113" s="16" t="e">
        <f t="shared" si="15"/>
        <v>#REF!</v>
      </c>
    </row>
    <row r="114" spans="1:12" x14ac:dyDescent="0.25">
      <c r="A114" s="6" t="s">
        <v>22</v>
      </c>
      <c r="B114" s="6">
        <v>15</v>
      </c>
      <c r="C114" s="6" t="str">
        <f>'[1]key drivers'!A$71</f>
        <v>Van</v>
      </c>
      <c r="D114" s="6" t="str">
        <f>'[1]key drivers'!F$62</f>
        <v>Mazzard</v>
      </c>
      <c r="E114" s="8" t="s">
        <v>23</v>
      </c>
      <c r="F114" s="6">
        <v>5</v>
      </c>
      <c r="G114" s="6">
        <v>1</v>
      </c>
      <c r="H114" s="28">
        <f t="shared" si="12"/>
        <v>170</v>
      </c>
      <c r="I114" s="9">
        <v>170</v>
      </c>
      <c r="J114" s="9" t="e">
        <f t="shared" si="14"/>
        <v>#REF!</v>
      </c>
      <c r="K114" s="10">
        <f t="shared" si="13"/>
        <v>850</v>
      </c>
      <c r="L114" s="16" t="e">
        <f t="shared" si="15"/>
        <v>#REF!</v>
      </c>
    </row>
    <row r="115" spans="1:12" x14ac:dyDescent="0.25">
      <c r="A115" s="6" t="s">
        <v>22</v>
      </c>
      <c r="B115" s="6">
        <v>16</v>
      </c>
      <c r="C115" s="6" t="str">
        <f>'[1]key drivers'!A$71</f>
        <v>Van</v>
      </c>
      <c r="D115" s="6" t="str">
        <f>'[1]key drivers'!F$62</f>
        <v>Mazzard</v>
      </c>
      <c r="E115" s="8" t="s">
        <v>23</v>
      </c>
      <c r="F115" s="6">
        <v>5</v>
      </c>
      <c r="G115" s="6">
        <v>1</v>
      </c>
      <c r="H115" s="28">
        <f t="shared" si="12"/>
        <v>170</v>
      </c>
      <c r="I115" s="9">
        <v>170</v>
      </c>
      <c r="J115" s="9" t="e">
        <f t="shared" si="14"/>
        <v>#REF!</v>
      </c>
      <c r="K115" s="10">
        <f t="shared" si="13"/>
        <v>850</v>
      </c>
      <c r="L115" s="16" t="e">
        <f t="shared" si="15"/>
        <v>#REF!</v>
      </c>
    </row>
    <row r="116" spans="1:12" x14ac:dyDescent="0.25">
      <c r="A116" s="6" t="s">
        <v>22</v>
      </c>
      <c r="B116" s="6">
        <v>17</v>
      </c>
      <c r="C116" s="6" t="str">
        <f>'[1]key drivers'!A$69</f>
        <v>Rain</v>
      </c>
      <c r="D116" s="6" t="str">
        <f>'[1]key drivers'!F$62</f>
        <v>Mazzard</v>
      </c>
      <c r="E116" s="8" t="s">
        <v>23</v>
      </c>
      <c r="F116" s="6">
        <v>5</v>
      </c>
      <c r="G116" s="6">
        <v>1</v>
      </c>
      <c r="H116" s="28">
        <f>ROUND(I116/G116,0)</f>
        <v>61</v>
      </c>
      <c r="I116" s="9">
        <v>61</v>
      </c>
      <c r="J116" s="9" t="e">
        <f t="shared" si="14"/>
        <v>#REF!</v>
      </c>
      <c r="K116" s="10">
        <f t="shared" si="13"/>
        <v>305</v>
      </c>
      <c r="L116" s="16" t="e">
        <f t="shared" si="15"/>
        <v>#REF!</v>
      </c>
    </row>
    <row r="117" spans="1:12" x14ac:dyDescent="0.25">
      <c r="A117" s="6" t="s">
        <v>22</v>
      </c>
      <c r="B117" s="6">
        <v>17</v>
      </c>
      <c r="C117" s="6" t="str">
        <f>'[1]key drivers'!A$69</f>
        <v>Rain</v>
      </c>
      <c r="D117" s="6" t="str">
        <f>'[1]key drivers'!F$62</f>
        <v>Mazzard</v>
      </c>
      <c r="E117" s="8" t="s">
        <v>19</v>
      </c>
      <c r="F117" s="6">
        <v>5</v>
      </c>
      <c r="G117" s="6">
        <v>1</v>
      </c>
      <c r="H117" s="28">
        <f>ROUND(I117/G117,0)</f>
        <v>29</v>
      </c>
      <c r="I117" s="9">
        <v>29</v>
      </c>
      <c r="J117" s="9" t="e">
        <f t="shared" si="14"/>
        <v>#REF!</v>
      </c>
      <c r="K117" s="10">
        <f t="shared" si="13"/>
        <v>145</v>
      </c>
      <c r="L117" s="16" t="e">
        <f t="shared" si="15"/>
        <v>#REF!</v>
      </c>
    </row>
    <row r="118" spans="1:12" x14ac:dyDescent="0.25">
      <c r="A118" s="6" t="s">
        <v>22</v>
      </c>
      <c r="B118" s="6">
        <v>17</v>
      </c>
      <c r="C118" s="6" t="str">
        <f>'[1]key drivers'!A69</f>
        <v>Rain</v>
      </c>
      <c r="D118" s="6" t="str">
        <f>'[1]key drivers'!F$62</f>
        <v>Mazzard</v>
      </c>
      <c r="E118" s="8" t="s">
        <v>16</v>
      </c>
      <c r="F118" s="6">
        <v>5</v>
      </c>
      <c r="G118" s="6">
        <v>1</v>
      </c>
      <c r="H118" s="28">
        <f t="shared" si="12"/>
        <v>31</v>
      </c>
      <c r="I118" s="9">
        <v>31</v>
      </c>
      <c r="J118" s="9" t="e">
        <f t="shared" si="14"/>
        <v>#REF!</v>
      </c>
      <c r="K118" s="10">
        <f t="shared" si="13"/>
        <v>155</v>
      </c>
      <c r="L118" s="16" t="e">
        <f t="shared" si="15"/>
        <v>#REF!</v>
      </c>
    </row>
    <row r="119" spans="1:12" x14ac:dyDescent="0.25">
      <c r="A119" s="6" t="s">
        <v>22</v>
      </c>
      <c r="B119" s="6">
        <v>17</v>
      </c>
      <c r="C119" s="6" t="s">
        <v>24</v>
      </c>
      <c r="D119" s="6" t="str">
        <f>'[1]key drivers'!F$62</f>
        <v>Mazzard</v>
      </c>
      <c r="E119" s="8" t="s">
        <v>23</v>
      </c>
      <c r="F119" s="6">
        <v>5</v>
      </c>
      <c r="G119" s="6">
        <v>1</v>
      </c>
      <c r="H119" s="28">
        <f t="shared" si="12"/>
        <v>50</v>
      </c>
      <c r="I119" s="9">
        <v>50</v>
      </c>
      <c r="J119" s="9" t="e">
        <f t="shared" si="14"/>
        <v>#REF!</v>
      </c>
      <c r="K119" s="10">
        <f t="shared" si="13"/>
        <v>250</v>
      </c>
      <c r="L119" s="16" t="e">
        <f t="shared" si="15"/>
        <v>#REF!</v>
      </c>
    </row>
    <row r="120" spans="1:12" x14ac:dyDescent="0.25">
      <c r="A120" s="6" t="s">
        <v>22</v>
      </c>
      <c r="B120" s="6">
        <v>18</v>
      </c>
      <c r="C120" s="6" t="s">
        <v>25</v>
      </c>
      <c r="D120" s="6" t="str">
        <f>'[1]key drivers'!F$62</f>
        <v>Mazzard</v>
      </c>
      <c r="E120" s="8">
        <v>2018</v>
      </c>
      <c r="F120" s="6">
        <v>5</v>
      </c>
      <c r="G120" s="6">
        <v>1</v>
      </c>
      <c r="H120" s="28">
        <f t="shared" si="12"/>
        <v>53</v>
      </c>
      <c r="I120" s="9">
        <v>53</v>
      </c>
      <c r="J120" s="9" t="e">
        <f t="shared" si="14"/>
        <v>#REF!</v>
      </c>
      <c r="K120" s="10">
        <f t="shared" si="13"/>
        <v>265</v>
      </c>
      <c r="L120" s="16" t="e">
        <f t="shared" si="15"/>
        <v>#REF!</v>
      </c>
    </row>
    <row r="121" spans="1:12" x14ac:dyDescent="0.25">
      <c r="A121" s="6" t="s">
        <v>22</v>
      </c>
      <c r="B121" s="6">
        <v>18</v>
      </c>
      <c r="C121" s="6" t="str">
        <f>'[1]key drivers'!A$71</f>
        <v>Van</v>
      </c>
      <c r="D121" s="6" t="str">
        <f>'[1]key drivers'!F$62</f>
        <v>Mazzard</v>
      </c>
      <c r="E121" s="8" t="s">
        <v>23</v>
      </c>
      <c r="F121" s="6">
        <v>5</v>
      </c>
      <c r="G121" s="6">
        <v>1</v>
      </c>
      <c r="H121" s="28">
        <f t="shared" si="12"/>
        <v>50</v>
      </c>
      <c r="I121" s="9">
        <v>50</v>
      </c>
      <c r="J121" s="9" t="e">
        <f t="shared" si="14"/>
        <v>#REF!</v>
      </c>
      <c r="K121" s="10">
        <f t="shared" si="13"/>
        <v>250</v>
      </c>
      <c r="L121" s="16" t="e">
        <f t="shared" si="15"/>
        <v>#REF!</v>
      </c>
    </row>
    <row r="122" spans="1:12" x14ac:dyDescent="0.25">
      <c r="A122" s="6" t="s">
        <v>22</v>
      </c>
      <c r="B122" s="6">
        <v>18</v>
      </c>
      <c r="C122" s="6" t="s">
        <v>25</v>
      </c>
      <c r="D122" s="6" t="str">
        <f>'[1]key drivers'!F$62</f>
        <v>Mazzard</v>
      </c>
      <c r="E122" s="8">
        <v>2018</v>
      </c>
      <c r="F122" s="6">
        <v>5</v>
      </c>
      <c r="G122" s="6">
        <v>1</v>
      </c>
      <c r="H122" s="28">
        <f t="shared" si="12"/>
        <v>50</v>
      </c>
      <c r="I122" s="9">
        <v>50</v>
      </c>
      <c r="J122" s="9" t="e">
        <f t="shared" si="14"/>
        <v>#REF!</v>
      </c>
      <c r="K122" s="10">
        <f t="shared" si="13"/>
        <v>250</v>
      </c>
      <c r="L122" s="16" t="e">
        <f t="shared" si="15"/>
        <v>#REF!</v>
      </c>
    </row>
    <row r="123" spans="1:12" x14ac:dyDescent="0.25">
      <c r="A123" s="6" t="s">
        <v>22</v>
      </c>
      <c r="B123" s="6">
        <v>18</v>
      </c>
      <c r="C123" s="6" t="s">
        <v>25</v>
      </c>
      <c r="D123" s="6" t="str">
        <f>'[1]key drivers'!F$62</f>
        <v>Mazzard</v>
      </c>
      <c r="E123" s="8">
        <v>2018</v>
      </c>
      <c r="F123" s="6">
        <v>5</v>
      </c>
      <c r="G123" s="6">
        <v>1</v>
      </c>
      <c r="H123" s="28">
        <f t="shared" si="12"/>
        <v>13</v>
      </c>
      <c r="I123" s="9">
        <v>13</v>
      </c>
      <c r="J123" s="9" t="e">
        <f t="shared" si="14"/>
        <v>#REF!</v>
      </c>
      <c r="K123" s="10">
        <f t="shared" si="13"/>
        <v>65</v>
      </c>
      <c r="L123" s="16" t="e">
        <f t="shared" si="15"/>
        <v>#REF!</v>
      </c>
    </row>
    <row r="124" spans="1:12" x14ac:dyDescent="0.25">
      <c r="A124" s="6" t="s">
        <v>22</v>
      </c>
      <c r="B124" s="6">
        <v>19</v>
      </c>
      <c r="C124" s="6" t="str">
        <f>'[1]key drivers'!A$75</f>
        <v>Lap</v>
      </c>
      <c r="D124" s="6" t="str">
        <f>'[1]key drivers'!F$62</f>
        <v>Mazzard</v>
      </c>
      <c r="E124" s="8" t="s">
        <v>16</v>
      </c>
      <c r="F124" s="6">
        <v>5</v>
      </c>
      <c r="G124" s="6">
        <v>1</v>
      </c>
      <c r="H124" s="28">
        <f t="shared" si="12"/>
        <v>12</v>
      </c>
      <c r="I124" s="9">
        <v>12</v>
      </c>
      <c r="J124" s="9" t="e">
        <f t="shared" si="14"/>
        <v>#REF!</v>
      </c>
      <c r="K124" s="10">
        <f t="shared" si="13"/>
        <v>60</v>
      </c>
      <c r="L124" s="16" t="e">
        <f t="shared" si="15"/>
        <v>#REF!</v>
      </c>
    </row>
    <row r="125" spans="1:12" x14ac:dyDescent="0.25">
      <c r="A125" s="6" t="s">
        <v>22</v>
      </c>
      <c r="B125" s="6">
        <v>19</v>
      </c>
      <c r="C125" s="6" t="str">
        <f>'[1]key drivers'!A$75</f>
        <v>Lap</v>
      </c>
      <c r="D125" s="6" t="str">
        <f>'[1]key drivers'!F$62</f>
        <v>Mazzard</v>
      </c>
      <c r="E125" s="8" t="s">
        <v>16</v>
      </c>
      <c r="F125" s="6">
        <v>5</v>
      </c>
      <c r="G125" s="6">
        <v>1</v>
      </c>
      <c r="H125" s="28">
        <f t="shared" si="12"/>
        <v>52</v>
      </c>
      <c r="I125" s="9">
        <v>52</v>
      </c>
      <c r="J125" s="9" t="e">
        <f t="shared" si="14"/>
        <v>#REF!</v>
      </c>
      <c r="K125" s="10">
        <f t="shared" si="13"/>
        <v>260</v>
      </c>
      <c r="L125" s="16" t="e">
        <f t="shared" si="15"/>
        <v>#REF!</v>
      </c>
    </row>
    <row r="126" spans="1:12" x14ac:dyDescent="0.25">
      <c r="A126" s="6" t="s">
        <v>22</v>
      </c>
      <c r="B126" s="6">
        <v>19</v>
      </c>
      <c r="C126" s="6" t="str">
        <f>'[1]key drivers'!A$75</f>
        <v>Lap</v>
      </c>
      <c r="D126" s="6" t="str">
        <f>'[1]key drivers'!F$62</f>
        <v>Mazzard</v>
      </c>
      <c r="E126" s="8" t="s">
        <v>19</v>
      </c>
      <c r="F126" s="6">
        <v>5</v>
      </c>
      <c r="G126" s="6">
        <v>1</v>
      </c>
      <c r="H126" s="28">
        <f t="shared" si="12"/>
        <v>51</v>
      </c>
      <c r="I126" s="9">
        <v>51</v>
      </c>
      <c r="J126" s="9" t="e">
        <f t="shared" si="14"/>
        <v>#REF!</v>
      </c>
      <c r="K126" s="10">
        <f t="shared" si="13"/>
        <v>255</v>
      </c>
      <c r="L126" s="16" t="e">
        <f t="shared" si="15"/>
        <v>#REF!</v>
      </c>
    </row>
    <row r="127" spans="1:12" x14ac:dyDescent="0.25">
      <c r="A127" s="6" t="s">
        <v>22</v>
      </c>
      <c r="B127" s="6">
        <v>19</v>
      </c>
      <c r="C127" s="6" t="str">
        <f>'[1]key drivers'!A$75</f>
        <v>Lap</v>
      </c>
      <c r="D127" s="6" t="str">
        <f>'[1]key drivers'!F$62</f>
        <v>Mazzard</v>
      </c>
      <c r="E127" s="8" t="s">
        <v>16</v>
      </c>
      <c r="F127" s="6">
        <v>5</v>
      </c>
      <c r="G127" s="6">
        <v>1</v>
      </c>
      <c r="H127" s="28">
        <f t="shared" si="12"/>
        <v>48</v>
      </c>
      <c r="I127" s="9">
        <v>48</v>
      </c>
      <c r="J127" s="9" t="e">
        <f t="shared" si="14"/>
        <v>#REF!</v>
      </c>
      <c r="K127" s="10">
        <f t="shared" si="13"/>
        <v>240</v>
      </c>
      <c r="L127" s="16" t="e">
        <f t="shared" si="15"/>
        <v>#REF!</v>
      </c>
    </row>
    <row r="128" spans="1:12" x14ac:dyDescent="0.25">
      <c r="A128" s="6" t="s">
        <v>22</v>
      </c>
      <c r="B128" s="6">
        <v>20</v>
      </c>
      <c r="C128" s="6" t="str">
        <f>'[1]key drivers'!A$69</f>
        <v>Rain</v>
      </c>
      <c r="D128" s="6" t="str">
        <f>'[1]key drivers'!F$62</f>
        <v>Mazzard</v>
      </c>
      <c r="E128" s="8" t="s">
        <v>16</v>
      </c>
      <c r="F128" s="6">
        <v>5</v>
      </c>
      <c r="G128" s="6">
        <v>1</v>
      </c>
      <c r="H128" s="28">
        <f t="shared" si="12"/>
        <v>167</v>
      </c>
      <c r="I128" s="9">
        <v>167</v>
      </c>
      <c r="J128" s="9" t="e">
        <f t="shared" si="14"/>
        <v>#REF!</v>
      </c>
      <c r="K128" s="10">
        <f t="shared" si="13"/>
        <v>835</v>
      </c>
      <c r="L128" s="16" t="e">
        <f t="shared" si="15"/>
        <v>#REF!</v>
      </c>
    </row>
    <row r="129" spans="1:12" x14ac:dyDescent="0.25">
      <c r="A129" s="6" t="s">
        <v>22</v>
      </c>
      <c r="B129" s="6">
        <v>21</v>
      </c>
      <c r="C129" s="6" t="str">
        <f>'[1]key drivers'!A$71</f>
        <v>Van</v>
      </c>
      <c r="D129" s="6" t="str">
        <f>'[1]key drivers'!F$62</f>
        <v>Mazzard</v>
      </c>
      <c r="E129" s="8" t="s">
        <v>23</v>
      </c>
      <c r="F129" s="6">
        <v>5</v>
      </c>
      <c r="G129" s="6">
        <v>1</v>
      </c>
      <c r="H129" s="28">
        <f t="shared" si="12"/>
        <v>166</v>
      </c>
      <c r="I129" s="9">
        <v>166</v>
      </c>
      <c r="J129" s="9" t="e">
        <f t="shared" si="14"/>
        <v>#REF!</v>
      </c>
      <c r="K129" s="10">
        <f t="shared" si="13"/>
        <v>830</v>
      </c>
      <c r="L129" s="16" t="e">
        <f t="shared" si="15"/>
        <v>#REF!</v>
      </c>
    </row>
    <row r="130" spans="1:12" x14ac:dyDescent="0.25">
      <c r="A130" s="20" t="s">
        <v>22</v>
      </c>
      <c r="B130" s="20">
        <v>22</v>
      </c>
      <c r="C130" s="20" t="s">
        <v>24</v>
      </c>
      <c r="D130" s="20" t="str">
        <f>'[1]key drivers'!F$62</f>
        <v>Mazzard</v>
      </c>
      <c r="E130" s="21">
        <v>2018</v>
      </c>
      <c r="F130" s="20">
        <v>5</v>
      </c>
      <c r="G130" s="20">
        <v>1</v>
      </c>
      <c r="H130" s="29">
        <f t="shared" si="12"/>
        <v>165</v>
      </c>
      <c r="I130" s="23">
        <v>165</v>
      </c>
      <c r="J130" s="23" t="e">
        <f t="shared" si="14"/>
        <v>#REF!</v>
      </c>
      <c r="K130" s="25">
        <f t="shared" si="13"/>
        <v>825</v>
      </c>
      <c r="L130" s="16" t="e">
        <f t="shared" si="15"/>
        <v>#REF!</v>
      </c>
    </row>
    <row r="131" spans="1:12" x14ac:dyDescent="0.25">
      <c r="A131" s="6" t="s">
        <v>22</v>
      </c>
      <c r="B131" s="6">
        <v>23</v>
      </c>
      <c r="C131" s="6" t="s">
        <v>26</v>
      </c>
      <c r="D131" s="6" t="str">
        <f>'[1]key drivers'!F$62</f>
        <v>Mazzard</v>
      </c>
      <c r="E131" s="8">
        <v>2018</v>
      </c>
      <c r="F131" s="6">
        <v>5</v>
      </c>
      <c r="G131" s="6">
        <v>1</v>
      </c>
      <c r="H131" s="28">
        <v>164</v>
      </c>
      <c r="I131" s="9">
        <v>164</v>
      </c>
      <c r="J131" s="9" t="e">
        <f t="shared" si="14"/>
        <v>#REF!</v>
      </c>
      <c r="K131" s="10">
        <f t="shared" si="13"/>
        <v>820</v>
      </c>
      <c r="L131" s="16" t="e">
        <f t="shared" si="15"/>
        <v>#REF!</v>
      </c>
    </row>
    <row r="132" spans="1:12" x14ac:dyDescent="0.25">
      <c r="A132" s="6" t="s">
        <v>22</v>
      </c>
      <c r="B132" s="6">
        <v>24</v>
      </c>
      <c r="C132" s="6" t="s">
        <v>26</v>
      </c>
      <c r="D132" s="6" t="str">
        <f>'[1]key drivers'!F$62</f>
        <v>Mazzard</v>
      </c>
      <c r="E132" s="8">
        <v>2024</v>
      </c>
      <c r="F132" s="6">
        <v>5</v>
      </c>
      <c r="G132" s="6">
        <v>1</v>
      </c>
      <c r="H132" s="28">
        <v>150</v>
      </c>
      <c r="I132" s="9">
        <v>164</v>
      </c>
      <c r="J132" s="9" t="e">
        <f t="shared" si="14"/>
        <v>#REF!</v>
      </c>
      <c r="K132" s="10">
        <f t="shared" si="13"/>
        <v>820</v>
      </c>
      <c r="L132" s="16" t="e">
        <f t="shared" si="15"/>
        <v>#REF!</v>
      </c>
    </row>
    <row r="133" spans="1:12" x14ac:dyDescent="0.25">
      <c r="A133" s="6" t="s">
        <v>22</v>
      </c>
      <c r="B133" s="6">
        <v>24</v>
      </c>
      <c r="C133" s="6" t="s">
        <v>26</v>
      </c>
      <c r="D133" s="6" t="s">
        <v>27</v>
      </c>
      <c r="E133" s="8">
        <v>2018</v>
      </c>
      <c r="F133" s="6">
        <v>5</v>
      </c>
      <c r="G133" s="6">
        <v>1</v>
      </c>
      <c r="H133" s="28">
        <v>14</v>
      </c>
      <c r="I133" s="9">
        <v>14</v>
      </c>
      <c r="J133" s="9" t="e">
        <f t="shared" si="14"/>
        <v>#REF!</v>
      </c>
      <c r="K133" s="10">
        <f t="shared" si="13"/>
        <v>70</v>
      </c>
      <c r="L133" s="16" t="e">
        <f t="shared" si="15"/>
        <v>#REF!</v>
      </c>
    </row>
    <row r="134" spans="1:12" x14ac:dyDescent="0.25">
      <c r="A134" s="6" t="s">
        <v>22</v>
      </c>
      <c r="B134" s="6">
        <v>25</v>
      </c>
      <c r="C134" s="6" t="s">
        <v>25</v>
      </c>
      <c r="D134" s="6" t="s">
        <v>27</v>
      </c>
      <c r="E134" s="8">
        <v>2021</v>
      </c>
      <c r="F134" s="6">
        <v>5</v>
      </c>
      <c r="G134" s="6">
        <v>1</v>
      </c>
      <c r="H134" s="28">
        <v>81</v>
      </c>
      <c r="I134" s="9">
        <v>81</v>
      </c>
      <c r="J134" s="9" t="e">
        <f>I134+J132</f>
        <v>#REF!</v>
      </c>
      <c r="K134" s="10">
        <f t="shared" si="13"/>
        <v>405</v>
      </c>
      <c r="L134" s="16" t="e">
        <f t="shared" si="15"/>
        <v>#REF!</v>
      </c>
    </row>
    <row r="135" spans="1:12" x14ac:dyDescent="0.25">
      <c r="A135" s="6" t="s">
        <v>22</v>
      </c>
      <c r="B135" s="6">
        <v>25</v>
      </c>
      <c r="C135" s="6" t="s">
        <v>24</v>
      </c>
      <c r="D135" s="6" t="str">
        <f>'[1]key drivers'!F$62</f>
        <v>Mazzard</v>
      </c>
      <c r="E135" s="8" t="s">
        <v>14</v>
      </c>
      <c r="F135" s="6">
        <v>5</v>
      </c>
      <c r="G135" s="6">
        <v>1</v>
      </c>
      <c r="H135" s="28">
        <f>162/2</f>
        <v>81</v>
      </c>
      <c r="I135" s="9">
        <v>81</v>
      </c>
      <c r="J135" s="9" t="e">
        <f t="shared" si="14"/>
        <v>#REF!</v>
      </c>
      <c r="K135" s="10">
        <f t="shared" si="13"/>
        <v>405</v>
      </c>
      <c r="L135" s="16" t="e">
        <f t="shared" si="15"/>
        <v>#REF!</v>
      </c>
    </row>
    <row r="136" spans="1:12" x14ac:dyDescent="0.25">
      <c r="A136" s="6" t="s">
        <v>22</v>
      </c>
      <c r="B136" s="6">
        <v>26</v>
      </c>
      <c r="C136" s="6" t="str">
        <f>'[1]key drivers'!A$75</f>
        <v>Lap</v>
      </c>
      <c r="D136" s="6" t="str">
        <f>'[1]key drivers'!F$62</f>
        <v>Mazzard</v>
      </c>
      <c r="E136" s="8" t="s">
        <v>14</v>
      </c>
      <c r="F136" s="6">
        <v>5</v>
      </c>
      <c r="G136" s="6">
        <v>1</v>
      </c>
      <c r="H136" s="28">
        <f>ROUND(I136/G136,0)</f>
        <v>160</v>
      </c>
      <c r="I136" s="9">
        <v>160</v>
      </c>
      <c r="J136" s="9" t="e">
        <f t="shared" si="14"/>
        <v>#REF!</v>
      </c>
      <c r="K136" s="10">
        <f t="shared" si="13"/>
        <v>800</v>
      </c>
      <c r="L136" s="16" t="e">
        <f t="shared" si="15"/>
        <v>#REF!</v>
      </c>
    </row>
    <row r="137" spans="1:12" x14ac:dyDescent="0.25">
      <c r="A137" s="6" t="s">
        <v>22</v>
      </c>
      <c r="B137" s="6">
        <v>27</v>
      </c>
      <c r="C137" s="6" t="str">
        <f>'[1]key drivers'!A$71</f>
        <v>Van</v>
      </c>
      <c r="D137" s="6" t="str">
        <f>'[1]key drivers'!F$62</f>
        <v>Mazzard</v>
      </c>
      <c r="E137" s="8" t="s">
        <v>14</v>
      </c>
      <c r="F137" s="6">
        <v>5</v>
      </c>
      <c r="G137" s="6">
        <v>1</v>
      </c>
      <c r="H137" s="28">
        <f>ROUND(I137/G137,0)</f>
        <v>157</v>
      </c>
      <c r="I137" s="9">
        <v>157</v>
      </c>
      <c r="J137" s="9" t="e">
        <f t="shared" si="14"/>
        <v>#REF!</v>
      </c>
      <c r="K137" s="10">
        <f t="shared" si="13"/>
        <v>785</v>
      </c>
      <c r="L137" s="16" t="e">
        <f t="shared" si="15"/>
        <v>#REF!</v>
      </c>
    </row>
    <row r="138" spans="1:12" x14ac:dyDescent="0.25">
      <c r="A138" s="6" t="s">
        <v>22</v>
      </c>
      <c r="B138" s="6">
        <v>28</v>
      </c>
      <c r="C138" s="6" t="str">
        <f>'[1]key drivers'!A$69</f>
        <v>Rain</v>
      </c>
      <c r="D138" s="6" t="str">
        <f>'[1]key drivers'!F$62</f>
        <v>Mazzard</v>
      </c>
      <c r="E138" s="8">
        <v>12</v>
      </c>
      <c r="F138" s="6">
        <v>5</v>
      </c>
      <c r="G138" s="6">
        <v>1</v>
      </c>
      <c r="H138" s="28">
        <f t="shared" si="12"/>
        <v>156</v>
      </c>
      <c r="I138" s="9">
        <v>156</v>
      </c>
      <c r="J138" s="9" t="e">
        <f t="shared" si="14"/>
        <v>#REF!</v>
      </c>
      <c r="K138" s="10">
        <f t="shared" si="13"/>
        <v>780</v>
      </c>
      <c r="L138" s="16" t="e">
        <f t="shared" si="15"/>
        <v>#REF!</v>
      </c>
    </row>
    <row r="139" spans="1:12" x14ac:dyDescent="0.25">
      <c r="A139" s="6" t="s">
        <v>22</v>
      </c>
      <c r="B139" s="6">
        <v>29</v>
      </c>
      <c r="C139" s="6" t="str">
        <f>'[1]key drivers'!A$69</f>
        <v>Rain</v>
      </c>
      <c r="D139" s="6" t="str">
        <f>'[1]key drivers'!F$62</f>
        <v>Mazzard</v>
      </c>
      <c r="E139" s="8">
        <v>12</v>
      </c>
      <c r="F139" s="6">
        <v>5</v>
      </c>
      <c r="G139" s="6">
        <v>1</v>
      </c>
      <c r="H139" s="28">
        <f t="shared" si="12"/>
        <v>156</v>
      </c>
      <c r="I139" s="9">
        <v>156</v>
      </c>
      <c r="J139" s="9" t="e">
        <f t="shared" si="14"/>
        <v>#REF!</v>
      </c>
      <c r="K139" s="10">
        <f t="shared" si="13"/>
        <v>780</v>
      </c>
      <c r="L139" s="16" t="e">
        <f t="shared" si="15"/>
        <v>#REF!</v>
      </c>
    </row>
    <row r="140" spans="1:12" x14ac:dyDescent="0.25">
      <c r="A140" s="6"/>
      <c r="B140" s="6"/>
      <c r="C140" s="6"/>
      <c r="D140" s="6"/>
      <c r="E140" s="8"/>
      <c r="F140" s="6"/>
      <c r="G140" s="6"/>
      <c r="H140" s="7"/>
      <c r="I140" s="9"/>
      <c r="J140" s="9"/>
      <c r="K140" s="10"/>
      <c r="L140" s="16"/>
    </row>
    <row r="141" spans="1:12" x14ac:dyDescent="0.25">
      <c r="A141" s="6" t="s">
        <v>28</v>
      </c>
      <c r="B141" s="6"/>
      <c r="C141" s="6"/>
      <c r="D141" s="6"/>
      <c r="E141" s="8"/>
      <c r="F141" s="6"/>
      <c r="G141" s="6"/>
      <c r="H141" s="6"/>
      <c r="I141" s="9"/>
      <c r="J141" s="9"/>
      <c r="K141" s="10"/>
      <c r="L141" s="16"/>
    </row>
    <row r="142" spans="1:12" x14ac:dyDescent="0.25">
      <c r="A142" s="6" t="s">
        <v>29</v>
      </c>
      <c r="B142" s="6">
        <v>1</v>
      </c>
      <c r="C142" s="6" t="str">
        <f>'[1]key drivers'!A$26</f>
        <v>Bravo</v>
      </c>
      <c r="D142" s="6">
        <f>'[1]key drivers'!F$20</f>
        <v>104</v>
      </c>
      <c r="E142" s="8">
        <v>2017</v>
      </c>
      <c r="F142" s="6">
        <v>4.5</v>
      </c>
      <c r="G142" s="6">
        <v>0.5</v>
      </c>
      <c r="H142" s="6">
        <f>I142/G142</f>
        <v>312</v>
      </c>
      <c r="I142" s="9">
        <f>203-47</f>
        <v>156</v>
      </c>
      <c r="J142" s="9">
        <f>I142</f>
        <v>156</v>
      </c>
      <c r="K142" s="10">
        <f t="shared" ref="K142:K184" si="16">F142*I142</f>
        <v>702</v>
      </c>
      <c r="L142" s="16">
        <f>K142/10000</f>
        <v>7.0199999999999999E-2</v>
      </c>
    </row>
    <row r="143" spans="1:12" x14ac:dyDescent="0.25">
      <c r="A143" s="6" t="s">
        <v>29</v>
      </c>
      <c r="B143" s="6">
        <v>1</v>
      </c>
      <c r="C143" s="6" t="s">
        <v>30</v>
      </c>
      <c r="D143" s="6">
        <v>104</v>
      </c>
      <c r="E143" s="6">
        <v>15</v>
      </c>
      <c r="F143" s="6">
        <v>4.5</v>
      </c>
      <c r="G143" s="6">
        <v>0.5</v>
      </c>
      <c r="H143" s="6">
        <v>47</v>
      </c>
      <c r="I143" s="9">
        <v>47</v>
      </c>
      <c r="J143" s="9">
        <f>I143+J142</f>
        <v>203</v>
      </c>
      <c r="K143" s="10">
        <f t="shared" si="16"/>
        <v>211.5</v>
      </c>
      <c r="L143" s="16">
        <f>K143/10000+L142</f>
        <v>9.1350000000000001E-2</v>
      </c>
    </row>
    <row r="144" spans="1:12" x14ac:dyDescent="0.25">
      <c r="A144" s="6" t="s">
        <v>29</v>
      </c>
      <c r="B144" s="6">
        <v>2</v>
      </c>
      <c r="C144" s="6" t="str">
        <f>'[1]key drivers'!A$26</f>
        <v>Bravo</v>
      </c>
      <c r="D144" s="6">
        <f>'[1]key drivers'!F$20</f>
        <v>104</v>
      </c>
      <c r="E144" s="8">
        <v>2017</v>
      </c>
      <c r="F144" s="6">
        <v>2.25</v>
      </c>
      <c r="G144" s="6">
        <v>1</v>
      </c>
      <c r="H144" s="6">
        <f t="shared" ref="H144:H183" si="17">I144/G144</f>
        <v>156</v>
      </c>
      <c r="I144" s="9">
        <f>203-47</f>
        <v>156</v>
      </c>
      <c r="J144" s="9">
        <f t="shared" ref="J144:J184" si="18">I144+J143</f>
        <v>359</v>
      </c>
      <c r="K144" s="10">
        <f t="shared" si="16"/>
        <v>351</v>
      </c>
      <c r="L144" s="16">
        <f>K144/10000+L143</f>
        <v>0.12645000000000001</v>
      </c>
    </row>
    <row r="145" spans="1:12" x14ac:dyDescent="0.25">
      <c r="A145" s="6" t="s">
        <v>29</v>
      </c>
      <c r="B145" s="6">
        <v>2</v>
      </c>
      <c r="C145" s="6" t="s">
        <v>30</v>
      </c>
      <c r="D145" s="6">
        <v>104</v>
      </c>
      <c r="E145" s="6">
        <v>15</v>
      </c>
      <c r="F145" s="6">
        <v>2.25</v>
      </c>
      <c r="G145" s="6">
        <v>1</v>
      </c>
      <c r="H145" s="6">
        <v>47</v>
      </c>
      <c r="I145" s="9">
        <v>47</v>
      </c>
      <c r="J145" s="9">
        <f t="shared" si="18"/>
        <v>406</v>
      </c>
      <c r="K145" s="10">
        <f t="shared" si="16"/>
        <v>105.75</v>
      </c>
      <c r="L145" s="16">
        <f t="shared" ref="L145:L184" si="19">K145/10000+L144</f>
        <v>0.13702500000000001</v>
      </c>
    </row>
    <row r="146" spans="1:12" x14ac:dyDescent="0.25">
      <c r="A146" s="6" t="s">
        <v>29</v>
      </c>
      <c r="B146" s="6">
        <v>2</v>
      </c>
      <c r="C146" s="6" t="str">
        <f>'[1]key drivers'!A$23</f>
        <v>G/S</v>
      </c>
      <c r="D146" s="6">
        <f>'[1]key drivers'!F$20</f>
        <v>104</v>
      </c>
      <c r="E146" s="8" t="s">
        <v>31</v>
      </c>
      <c r="F146" s="6">
        <v>2.25</v>
      </c>
      <c r="G146" s="6">
        <v>1</v>
      </c>
      <c r="H146" s="6">
        <f t="shared" si="17"/>
        <v>203</v>
      </c>
      <c r="I146" s="9">
        <v>203</v>
      </c>
      <c r="J146" s="9">
        <f t="shared" si="18"/>
        <v>609</v>
      </c>
      <c r="K146" s="10">
        <f t="shared" si="16"/>
        <v>456.75</v>
      </c>
      <c r="L146" s="16">
        <f t="shared" si="19"/>
        <v>0.1827</v>
      </c>
    </row>
    <row r="147" spans="1:12" x14ac:dyDescent="0.25">
      <c r="A147" s="6" t="s">
        <v>29</v>
      </c>
      <c r="B147" s="6">
        <v>3</v>
      </c>
      <c r="C147" s="6" t="str">
        <f>'[1]key drivers'!A$23</f>
        <v>G/S</v>
      </c>
      <c r="D147" s="6">
        <f>'[1]key drivers'!F$20</f>
        <v>104</v>
      </c>
      <c r="E147" s="8" t="s">
        <v>31</v>
      </c>
      <c r="F147" s="6">
        <v>2.25</v>
      </c>
      <c r="G147" s="6">
        <v>1</v>
      </c>
      <c r="H147" s="6">
        <f t="shared" si="17"/>
        <v>203</v>
      </c>
      <c r="I147" s="9">
        <v>203</v>
      </c>
      <c r="J147" s="9">
        <f t="shared" si="18"/>
        <v>812</v>
      </c>
      <c r="K147" s="10">
        <f t="shared" si="16"/>
        <v>456.75</v>
      </c>
      <c r="L147" s="16">
        <f t="shared" si="19"/>
        <v>0.22837499999999999</v>
      </c>
    </row>
    <row r="148" spans="1:12" x14ac:dyDescent="0.25">
      <c r="A148" s="6" t="s">
        <v>29</v>
      </c>
      <c r="B148" s="6">
        <v>3</v>
      </c>
      <c r="C148" s="6" t="str">
        <f>'[1]key drivers'!A$26</f>
        <v>Bravo</v>
      </c>
      <c r="D148" s="6">
        <f>'[1]key drivers'!F$20</f>
        <v>104</v>
      </c>
      <c r="E148" s="8">
        <v>2017</v>
      </c>
      <c r="F148" s="6">
        <v>2.25</v>
      </c>
      <c r="G148" s="6">
        <v>1</v>
      </c>
      <c r="H148" s="6">
        <f t="shared" si="17"/>
        <v>156</v>
      </c>
      <c r="I148" s="9">
        <f>203-47</f>
        <v>156</v>
      </c>
      <c r="J148" s="9">
        <f t="shared" si="18"/>
        <v>968</v>
      </c>
      <c r="K148" s="10">
        <f t="shared" si="16"/>
        <v>351</v>
      </c>
      <c r="L148" s="16">
        <f t="shared" si="19"/>
        <v>0.26347500000000001</v>
      </c>
    </row>
    <row r="149" spans="1:12" x14ac:dyDescent="0.25">
      <c r="A149" s="6" t="s">
        <v>29</v>
      </c>
      <c r="B149" s="6">
        <v>3</v>
      </c>
      <c r="C149" s="6" t="s">
        <v>30</v>
      </c>
      <c r="D149" s="6">
        <v>104</v>
      </c>
      <c r="E149" s="6">
        <v>15</v>
      </c>
      <c r="F149" s="6">
        <v>2.25</v>
      </c>
      <c r="G149" s="6">
        <v>1</v>
      </c>
      <c r="H149" s="6">
        <v>47</v>
      </c>
      <c r="I149" s="9">
        <v>47</v>
      </c>
      <c r="J149" s="9">
        <f t="shared" si="18"/>
        <v>1015</v>
      </c>
      <c r="K149" s="10">
        <f t="shared" si="16"/>
        <v>105.75</v>
      </c>
      <c r="L149" s="16">
        <f t="shared" si="19"/>
        <v>0.27405000000000002</v>
      </c>
    </row>
    <row r="150" spans="1:12" x14ac:dyDescent="0.25">
      <c r="A150" s="6" t="s">
        <v>29</v>
      </c>
      <c r="B150" s="6">
        <v>4</v>
      </c>
      <c r="C150" s="6" t="str">
        <f>'[1]key drivers'!A$26</f>
        <v>Bravo</v>
      </c>
      <c r="D150" s="6">
        <f>'[1]key drivers'!F$20</f>
        <v>104</v>
      </c>
      <c r="E150" s="8">
        <v>2017</v>
      </c>
      <c r="F150" s="6">
        <v>4.5</v>
      </c>
      <c r="G150" s="6">
        <v>0.5</v>
      </c>
      <c r="H150" s="6">
        <f t="shared" si="17"/>
        <v>312</v>
      </c>
      <c r="I150" s="9">
        <f>203-47</f>
        <v>156</v>
      </c>
      <c r="J150" s="9">
        <f t="shared" si="18"/>
        <v>1171</v>
      </c>
      <c r="K150" s="10">
        <f t="shared" si="16"/>
        <v>702</v>
      </c>
      <c r="L150" s="16">
        <f t="shared" si="19"/>
        <v>0.34425</v>
      </c>
    </row>
    <row r="151" spans="1:12" x14ac:dyDescent="0.25">
      <c r="A151" s="6" t="s">
        <v>29</v>
      </c>
      <c r="B151" s="6">
        <v>4</v>
      </c>
      <c r="C151" s="6" t="s">
        <v>30</v>
      </c>
      <c r="D151" s="6">
        <v>104</v>
      </c>
      <c r="E151" s="6">
        <v>15</v>
      </c>
      <c r="F151" s="6">
        <v>4.5</v>
      </c>
      <c r="G151" s="6">
        <v>0.5</v>
      </c>
      <c r="H151" s="6">
        <v>94</v>
      </c>
      <c r="I151" s="9">
        <v>47</v>
      </c>
      <c r="J151" s="9">
        <f t="shared" si="18"/>
        <v>1218</v>
      </c>
      <c r="K151" s="10">
        <f t="shared" si="16"/>
        <v>211.5</v>
      </c>
      <c r="L151" s="16">
        <f t="shared" si="19"/>
        <v>0.3654</v>
      </c>
    </row>
    <row r="152" spans="1:12" x14ac:dyDescent="0.25">
      <c r="A152" s="6" t="s">
        <v>29</v>
      </c>
      <c r="B152" s="6">
        <v>5</v>
      </c>
      <c r="C152" s="6" t="str">
        <f>'[1]key drivers'!A$26</f>
        <v>Bravo</v>
      </c>
      <c r="D152" s="6">
        <f>'[1]key drivers'!F$20</f>
        <v>104</v>
      </c>
      <c r="E152" s="8">
        <v>2017</v>
      </c>
      <c r="F152" s="6">
        <v>4.5</v>
      </c>
      <c r="G152" s="6">
        <v>0.5</v>
      </c>
      <c r="H152" s="6">
        <f t="shared" si="17"/>
        <v>312</v>
      </c>
      <c r="I152" s="9">
        <f>203-47</f>
        <v>156</v>
      </c>
      <c r="J152" s="9">
        <f t="shared" si="18"/>
        <v>1374</v>
      </c>
      <c r="K152" s="10">
        <f t="shared" si="16"/>
        <v>702</v>
      </c>
      <c r="L152" s="16">
        <f t="shared" si="19"/>
        <v>0.43559999999999999</v>
      </c>
    </row>
    <row r="153" spans="1:12" x14ac:dyDescent="0.25">
      <c r="A153" s="6" t="s">
        <v>29</v>
      </c>
      <c r="B153" s="6">
        <v>5</v>
      </c>
      <c r="C153" s="6" t="s">
        <v>30</v>
      </c>
      <c r="D153" s="6">
        <v>104</v>
      </c>
      <c r="E153" s="6">
        <v>15</v>
      </c>
      <c r="F153" s="6">
        <v>4.5</v>
      </c>
      <c r="G153" s="6">
        <v>0.5</v>
      </c>
      <c r="H153" s="6">
        <v>94</v>
      </c>
      <c r="I153" s="9">
        <v>47</v>
      </c>
      <c r="J153" s="9">
        <f t="shared" si="18"/>
        <v>1421</v>
      </c>
      <c r="K153" s="10">
        <f t="shared" si="16"/>
        <v>211.5</v>
      </c>
      <c r="L153" s="16">
        <f t="shared" si="19"/>
        <v>0.45674999999999999</v>
      </c>
    </row>
    <row r="154" spans="1:12" x14ac:dyDescent="0.25">
      <c r="A154" s="6" t="s">
        <v>29</v>
      </c>
      <c r="B154" s="6">
        <v>6</v>
      </c>
      <c r="C154" s="6" t="str">
        <f>'[1]key drivers'!A$26</f>
        <v>Bravo</v>
      </c>
      <c r="D154" s="6">
        <f>'[1]key drivers'!F$20</f>
        <v>104</v>
      </c>
      <c r="E154" s="8">
        <v>2017</v>
      </c>
      <c r="F154" s="6">
        <v>4.5</v>
      </c>
      <c r="G154" s="6">
        <v>0.5</v>
      </c>
      <c r="H154" s="6">
        <f t="shared" si="17"/>
        <v>312</v>
      </c>
      <c r="I154" s="9">
        <f>203-47</f>
        <v>156</v>
      </c>
      <c r="J154" s="9">
        <f t="shared" si="18"/>
        <v>1577</v>
      </c>
      <c r="K154" s="10">
        <f t="shared" si="16"/>
        <v>702</v>
      </c>
      <c r="L154" s="16">
        <f t="shared" si="19"/>
        <v>0.52695000000000003</v>
      </c>
    </row>
    <row r="155" spans="1:12" x14ac:dyDescent="0.25">
      <c r="A155" s="6" t="s">
        <v>29</v>
      </c>
      <c r="B155" s="6">
        <v>6</v>
      </c>
      <c r="C155" s="6" t="s">
        <v>30</v>
      </c>
      <c r="D155" s="6">
        <v>104</v>
      </c>
      <c r="E155" s="6">
        <v>15</v>
      </c>
      <c r="F155" s="6">
        <v>4.5</v>
      </c>
      <c r="G155" s="6">
        <v>0.5</v>
      </c>
      <c r="H155" s="6">
        <v>94</v>
      </c>
      <c r="I155" s="9">
        <v>47</v>
      </c>
      <c r="J155" s="9">
        <f t="shared" si="18"/>
        <v>1624</v>
      </c>
      <c r="K155" s="10">
        <f t="shared" si="16"/>
        <v>211.5</v>
      </c>
      <c r="L155" s="16">
        <f t="shared" si="19"/>
        <v>0.54810000000000003</v>
      </c>
    </row>
    <row r="156" spans="1:12" x14ac:dyDescent="0.25">
      <c r="A156" s="6" t="s">
        <v>29</v>
      </c>
      <c r="B156" s="6">
        <v>7</v>
      </c>
      <c r="C156" s="6" t="str">
        <f>'[1]key drivers'!A$26</f>
        <v>Bravo</v>
      </c>
      <c r="D156" s="6">
        <f>'[1]key drivers'!F$20</f>
        <v>104</v>
      </c>
      <c r="E156" s="8">
        <v>2017</v>
      </c>
      <c r="F156" s="6">
        <v>2.25</v>
      </c>
      <c r="G156" s="6">
        <v>1</v>
      </c>
      <c r="H156" s="6">
        <f t="shared" si="17"/>
        <v>156</v>
      </c>
      <c r="I156" s="9">
        <f>203-47</f>
        <v>156</v>
      </c>
      <c r="J156" s="9">
        <f t="shared" si="18"/>
        <v>1780</v>
      </c>
      <c r="K156" s="10">
        <f t="shared" si="16"/>
        <v>351</v>
      </c>
      <c r="L156" s="16">
        <f t="shared" si="19"/>
        <v>0.58320000000000005</v>
      </c>
    </row>
    <row r="157" spans="1:12" x14ac:dyDescent="0.25">
      <c r="A157" s="6" t="s">
        <v>29</v>
      </c>
      <c r="B157" s="6">
        <v>7</v>
      </c>
      <c r="C157" s="6" t="s">
        <v>30</v>
      </c>
      <c r="D157" s="6">
        <v>104</v>
      </c>
      <c r="E157" s="6">
        <v>15</v>
      </c>
      <c r="F157" s="6">
        <v>2.25</v>
      </c>
      <c r="G157" s="6">
        <v>1</v>
      </c>
      <c r="H157" s="6">
        <v>47</v>
      </c>
      <c r="I157" s="9">
        <v>47</v>
      </c>
      <c r="J157" s="9">
        <f t="shared" si="18"/>
        <v>1827</v>
      </c>
      <c r="K157" s="10">
        <f t="shared" si="16"/>
        <v>105.75</v>
      </c>
      <c r="L157" s="16">
        <f t="shared" si="19"/>
        <v>0.59377500000000005</v>
      </c>
    </row>
    <row r="158" spans="1:12" x14ac:dyDescent="0.25">
      <c r="A158" s="6" t="s">
        <v>29</v>
      </c>
      <c r="B158" s="6">
        <v>7</v>
      </c>
      <c r="C158" s="6" t="str">
        <f>'[1]key drivers'!A$23</f>
        <v>G/S</v>
      </c>
      <c r="D158" s="6">
        <f>'[1]key drivers'!F$20</f>
        <v>104</v>
      </c>
      <c r="E158" s="8" t="s">
        <v>32</v>
      </c>
      <c r="F158" s="6">
        <v>2.25</v>
      </c>
      <c r="G158" s="6">
        <v>1</v>
      </c>
      <c r="H158" s="6">
        <f t="shared" si="17"/>
        <v>203</v>
      </c>
      <c r="I158" s="9">
        <v>203</v>
      </c>
      <c r="J158" s="9">
        <f t="shared" si="18"/>
        <v>2030</v>
      </c>
      <c r="K158" s="10">
        <f t="shared" si="16"/>
        <v>456.75</v>
      </c>
      <c r="L158" s="16">
        <f t="shared" si="19"/>
        <v>0.63945000000000007</v>
      </c>
    </row>
    <row r="159" spans="1:12" x14ac:dyDescent="0.25">
      <c r="A159" s="6" t="s">
        <v>29</v>
      </c>
      <c r="B159" s="6">
        <v>8</v>
      </c>
      <c r="C159" s="6" t="str">
        <f>'[1]key drivers'!A$23</f>
        <v>G/S</v>
      </c>
      <c r="D159" s="6">
        <f>'[1]key drivers'!F$20</f>
        <v>104</v>
      </c>
      <c r="E159" s="8" t="s">
        <v>32</v>
      </c>
      <c r="F159" s="6">
        <v>2.25</v>
      </c>
      <c r="G159" s="6">
        <v>1</v>
      </c>
      <c r="H159" s="6">
        <f t="shared" si="17"/>
        <v>203</v>
      </c>
      <c r="I159" s="9">
        <v>203</v>
      </c>
      <c r="J159" s="9">
        <f t="shared" si="18"/>
        <v>2233</v>
      </c>
      <c r="K159" s="10">
        <f t="shared" si="16"/>
        <v>456.75</v>
      </c>
      <c r="L159" s="16">
        <f t="shared" si="19"/>
        <v>0.6851250000000001</v>
      </c>
    </row>
    <row r="160" spans="1:12" x14ac:dyDescent="0.25">
      <c r="A160" s="6" t="s">
        <v>29</v>
      </c>
      <c r="B160" s="6">
        <v>8</v>
      </c>
      <c r="C160" s="6" t="str">
        <f>'[1]key drivers'!A$26</f>
        <v>Bravo</v>
      </c>
      <c r="D160" s="6">
        <f>'[1]key drivers'!F$20</f>
        <v>104</v>
      </c>
      <c r="E160" s="8">
        <v>2017</v>
      </c>
      <c r="F160" s="6">
        <v>2.25</v>
      </c>
      <c r="G160" s="6">
        <v>1</v>
      </c>
      <c r="H160" s="6">
        <f t="shared" si="17"/>
        <v>156</v>
      </c>
      <c r="I160" s="9">
        <f>203-47</f>
        <v>156</v>
      </c>
      <c r="J160" s="9">
        <f t="shared" si="18"/>
        <v>2389</v>
      </c>
      <c r="K160" s="10">
        <f t="shared" si="16"/>
        <v>351</v>
      </c>
      <c r="L160" s="16">
        <f t="shared" si="19"/>
        <v>0.72022500000000012</v>
      </c>
    </row>
    <row r="161" spans="1:12" x14ac:dyDescent="0.25">
      <c r="A161" s="6" t="s">
        <v>29</v>
      </c>
      <c r="B161" s="6">
        <v>8</v>
      </c>
      <c r="C161" s="6" t="s">
        <v>30</v>
      </c>
      <c r="D161" s="6">
        <v>104</v>
      </c>
      <c r="E161" s="6">
        <v>15</v>
      </c>
      <c r="F161" s="6">
        <v>2.25</v>
      </c>
      <c r="G161" s="6">
        <v>1</v>
      </c>
      <c r="H161" s="6">
        <v>47</v>
      </c>
      <c r="I161" s="9">
        <v>47</v>
      </c>
      <c r="J161" s="9">
        <f t="shared" si="18"/>
        <v>2436</v>
      </c>
      <c r="K161" s="10">
        <f t="shared" si="16"/>
        <v>105.75</v>
      </c>
      <c r="L161" s="16">
        <f t="shared" si="19"/>
        <v>0.73080000000000012</v>
      </c>
    </row>
    <row r="162" spans="1:12" x14ac:dyDescent="0.25">
      <c r="A162" s="6" t="s">
        <v>29</v>
      </c>
      <c r="B162" s="6">
        <v>9</v>
      </c>
      <c r="C162" s="6" t="str">
        <f>'[1]key drivers'!A$26</f>
        <v>Bravo</v>
      </c>
      <c r="D162" s="6">
        <f>'[1]key drivers'!F$20</f>
        <v>104</v>
      </c>
      <c r="E162" s="8">
        <v>2017</v>
      </c>
      <c r="F162" s="6">
        <v>4.5</v>
      </c>
      <c r="G162" s="6">
        <v>0.5</v>
      </c>
      <c r="H162" s="6">
        <f t="shared" si="17"/>
        <v>312</v>
      </c>
      <c r="I162" s="9">
        <f>203-47</f>
        <v>156</v>
      </c>
      <c r="J162" s="9">
        <f t="shared" si="18"/>
        <v>2592</v>
      </c>
      <c r="K162" s="10">
        <f t="shared" si="16"/>
        <v>702</v>
      </c>
      <c r="L162" s="16">
        <f t="shared" si="19"/>
        <v>0.80100000000000016</v>
      </c>
    </row>
    <row r="163" spans="1:12" x14ac:dyDescent="0.25">
      <c r="A163" s="6" t="s">
        <v>29</v>
      </c>
      <c r="B163" s="6">
        <v>9</v>
      </c>
      <c r="C163" s="6" t="s">
        <v>30</v>
      </c>
      <c r="D163" s="6">
        <v>104</v>
      </c>
      <c r="E163" s="6">
        <v>15</v>
      </c>
      <c r="F163" s="6">
        <v>4.5</v>
      </c>
      <c r="G163" s="6">
        <v>0.5</v>
      </c>
      <c r="H163" s="6">
        <v>94</v>
      </c>
      <c r="I163" s="9">
        <v>47</v>
      </c>
      <c r="J163" s="9">
        <f t="shared" si="18"/>
        <v>2639</v>
      </c>
      <c r="K163" s="10">
        <f t="shared" si="16"/>
        <v>211.5</v>
      </c>
      <c r="L163" s="16">
        <f t="shared" si="19"/>
        <v>0.82215000000000016</v>
      </c>
    </row>
    <row r="164" spans="1:12" x14ac:dyDescent="0.25">
      <c r="A164" s="6" t="s">
        <v>29</v>
      </c>
      <c r="B164" s="6">
        <v>10</v>
      </c>
      <c r="C164" s="6" t="str">
        <f>'[1]key drivers'!A$26</f>
        <v>Bravo</v>
      </c>
      <c r="D164" s="6">
        <f>'[1]key drivers'!F$20</f>
        <v>104</v>
      </c>
      <c r="E164" s="8">
        <v>2017</v>
      </c>
      <c r="F164" s="6">
        <v>4.5</v>
      </c>
      <c r="G164" s="6">
        <v>0.5</v>
      </c>
      <c r="H164" s="6">
        <f t="shared" si="17"/>
        <v>312</v>
      </c>
      <c r="I164" s="9">
        <f>203-47</f>
        <v>156</v>
      </c>
      <c r="J164" s="9">
        <f t="shared" si="18"/>
        <v>2795</v>
      </c>
      <c r="K164" s="10">
        <f t="shared" si="16"/>
        <v>702</v>
      </c>
      <c r="L164" s="16">
        <f t="shared" si="19"/>
        <v>0.8923500000000002</v>
      </c>
    </row>
    <row r="165" spans="1:12" x14ac:dyDescent="0.25">
      <c r="A165" s="6" t="s">
        <v>29</v>
      </c>
      <c r="B165" s="6">
        <v>10</v>
      </c>
      <c r="C165" s="6" t="s">
        <v>30</v>
      </c>
      <c r="D165" s="6">
        <v>104</v>
      </c>
      <c r="E165" s="6">
        <v>16</v>
      </c>
      <c r="F165" s="6">
        <v>4.5</v>
      </c>
      <c r="G165" s="6">
        <v>0.5</v>
      </c>
      <c r="H165" s="6">
        <v>94</v>
      </c>
      <c r="I165" s="9">
        <v>47</v>
      </c>
      <c r="J165" s="9">
        <f t="shared" si="18"/>
        <v>2842</v>
      </c>
      <c r="K165" s="10">
        <f t="shared" si="16"/>
        <v>211.5</v>
      </c>
      <c r="L165" s="16">
        <f t="shared" si="19"/>
        <v>0.9135000000000002</v>
      </c>
    </row>
    <row r="166" spans="1:12" x14ac:dyDescent="0.25">
      <c r="A166" s="6" t="s">
        <v>29</v>
      </c>
      <c r="B166" s="6">
        <v>11</v>
      </c>
      <c r="C166" s="6" t="str">
        <f>'[1]key drivers'!A$26</f>
        <v>Bravo</v>
      </c>
      <c r="D166" s="6">
        <f>'[1]key drivers'!F$20</f>
        <v>104</v>
      </c>
      <c r="E166" s="8">
        <v>2017</v>
      </c>
      <c r="F166" s="6">
        <v>4.5</v>
      </c>
      <c r="G166" s="6">
        <v>0.5</v>
      </c>
      <c r="H166" s="6">
        <f t="shared" si="17"/>
        <v>312</v>
      </c>
      <c r="I166" s="9">
        <f>203-47</f>
        <v>156</v>
      </c>
      <c r="J166" s="9">
        <f t="shared" si="18"/>
        <v>2998</v>
      </c>
      <c r="K166" s="10">
        <f t="shared" si="16"/>
        <v>702</v>
      </c>
      <c r="L166" s="16">
        <f t="shared" si="19"/>
        <v>0.98370000000000024</v>
      </c>
    </row>
    <row r="167" spans="1:12" x14ac:dyDescent="0.25">
      <c r="A167" s="6" t="s">
        <v>29</v>
      </c>
      <c r="B167" s="6">
        <v>11</v>
      </c>
      <c r="C167" s="6" t="s">
        <v>30</v>
      </c>
      <c r="D167" s="6">
        <v>104</v>
      </c>
      <c r="E167" s="6">
        <v>16</v>
      </c>
      <c r="F167" s="6">
        <v>4.5</v>
      </c>
      <c r="G167" s="6">
        <v>0.5</v>
      </c>
      <c r="H167" s="6">
        <v>94</v>
      </c>
      <c r="I167" s="9">
        <v>47</v>
      </c>
      <c r="J167" s="9">
        <f t="shared" si="18"/>
        <v>3045</v>
      </c>
      <c r="K167" s="10">
        <f t="shared" si="16"/>
        <v>211.5</v>
      </c>
      <c r="L167" s="16">
        <f t="shared" si="19"/>
        <v>1.0048500000000002</v>
      </c>
    </row>
    <row r="168" spans="1:12" x14ac:dyDescent="0.25">
      <c r="A168" s="6" t="s">
        <v>29</v>
      </c>
      <c r="B168" s="6">
        <v>12</v>
      </c>
      <c r="C168" s="6" t="str">
        <f>'[1]key drivers'!A$26</f>
        <v>Bravo</v>
      </c>
      <c r="D168" s="6">
        <f>'[1]key drivers'!F$20</f>
        <v>104</v>
      </c>
      <c r="E168" s="8">
        <v>2017</v>
      </c>
      <c r="F168" s="6">
        <v>2.25</v>
      </c>
      <c r="G168" s="6">
        <v>1</v>
      </c>
      <c r="H168" s="6">
        <f t="shared" si="17"/>
        <v>156</v>
      </c>
      <c r="I168" s="9">
        <f>203-47</f>
        <v>156</v>
      </c>
      <c r="J168" s="9">
        <f t="shared" si="18"/>
        <v>3201</v>
      </c>
      <c r="K168" s="10">
        <f t="shared" si="16"/>
        <v>351</v>
      </c>
      <c r="L168" s="16">
        <f t="shared" si="19"/>
        <v>1.0399500000000002</v>
      </c>
    </row>
    <row r="169" spans="1:12" x14ac:dyDescent="0.25">
      <c r="A169" s="6" t="s">
        <v>29</v>
      </c>
      <c r="B169" s="6">
        <v>12</v>
      </c>
      <c r="C169" s="6" t="s">
        <v>30</v>
      </c>
      <c r="D169" s="6">
        <v>104</v>
      </c>
      <c r="E169" s="6">
        <v>16</v>
      </c>
      <c r="F169" s="6">
        <v>2.25</v>
      </c>
      <c r="G169" s="6">
        <v>1</v>
      </c>
      <c r="H169" s="6">
        <v>47</v>
      </c>
      <c r="I169" s="9">
        <v>47</v>
      </c>
      <c r="J169" s="9">
        <f t="shared" si="18"/>
        <v>3248</v>
      </c>
      <c r="K169" s="10">
        <f t="shared" si="16"/>
        <v>105.75</v>
      </c>
      <c r="L169" s="16">
        <f t="shared" si="19"/>
        <v>1.0505250000000002</v>
      </c>
    </row>
    <row r="170" spans="1:12" x14ac:dyDescent="0.25">
      <c r="A170" s="6" t="s">
        <v>29</v>
      </c>
      <c r="B170" s="6">
        <v>12</v>
      </c>
      <c r="C170" s="6" t="str">
        <f>'[1]key drivers'!A$23</f>
        <v>G/S</v>
      </c>
      <c r="D170" s="6">
        <f>'[1]key drivers'!F$20</f>
        <v>104</v>
      </c>
      <c r="E170" s="8" t="s">
        <v>32</v>
      </c>
      <c r="F170" s="6">
        <v>2.25</v>
      </c>
      <c r="G170" s="6">
        <v>1</v>
      </c>
      <c r="H170" s="6">
        <f t="shared" si="17"/>
        <v>203</v>
      </c>
      <c r="I170" s="9">
        <v>203</v>
      </c>
      <c r="J170" s="9">
        <f t="shared" si="18"/>
        <v>3451</v>
      </c>
      <c r="K170" s="10">
        <f t="shared" si="16"/>
        <v>456.75</v>
      </c>
      <c r="L170" s="16">
        <f t="shared" si="19"/>
        <v>1.0962000000000001</v>
      </c>
    </row>
    <row r="171" spans="1:12" x14ac:dyDescent="0.25">
      <c r="A171" s="6" t="s">
        <v>29</v>
      </c>
      <c r="B171" s="6">
        <v>13</v>
      </c>
      <c r="C171" s="6" t="str">
        <f>'[1]key drivers'!A$23</f>
        <v>G/S</v>
      </c>
      <c r="D171" s="6">
        <f>'[1]key drivers'!F$20</f>
        <v>104</v>
      </c>
      <c r="E171" s="8" t="s">
        <v>32</v>
      </c>
      <c r="F171" s="6">
        <v>2.25</v>
      </c>
      <c r="G171" s="6">
        <v>1</v>
      </c>
      <c r="H171" s="6">
        <f t="shared" si="17"/>
        <v>203</v>
      </c>
      <c r="I171" s="9">
        <v>203</v>
      </c>
      <c r="J171" s="9">
        <f t="shared" si="18"/>
        <v>3654</v>
      </c>
      <c r="K171" s="10">
        <f t="shared" si="16"/>
        <v>456.75</v>
      </c>
      <c r="L171" s="16">
        <f t="shared" si="19"/>
        <v>1.141875</v>
      </c>
    </row>
    <row r="172" spans="1:12" x14ac:dyDescent="0.25">
      <c r="A172" s="6" t="s">
        <v>29</v>
      </c>
      <c r="B172" s="6">
        <v>13</v>
      </c>
      <c r="C172" s="6" t="str">
        <f>'[1]key drivers'!A$26</f>
        <v>Bravo</v>
      </c>
      <c r="D172" s="6">
        <f>'[1]key drivers'!F$20</f>
        <v>104</v>
      </c>
      <c r="E172" s="8">
        <v>2017</v>
      </c>
      <c r="F172" s="6">
        <v>2.25</v>
      </c>
      <c r="G172" s="6">
        <v>1</v>
      </c>
      <c r="H172" s="6">
        <f t="shared" si="17"/>
        <v>156</v>
      </c>
      <c r="I172" s="9">
        <f>203-47</f>
        <v>156</v>
      </c>
      <c r="J172" s="9">
        <f t="shared" si="18"/>
        <v>3810</v>
      </c>
      <c r="K172" s="10">
        <f t="shared" si="16"/>
        <v>351</v>
      </c>
      <c r="L172" s="16">
        <f t="shared" si="19"/>
        <v>1.1769749999999999</v>
      </c>
    </row>
    <row r="173" spans="1:12" x14ac:dyDescent="0.25">
      <c r="A173" s="6" t="s">
        <v>29</v>
      </c>
      <c r="B173" s="6">
        <v>13</v>
      </c>
      <c r="C173" s="6" t="s">
        <v>30</v>
      </c>
      <c r="D173" s="6">
        <v>104</v>
      </c>
      <c r="E173" s="6">
        <v>16</v>
      </c>
      <c r="F173" s="6">
        <v>2.25</v>
      </c>
      <c r="G173" s="6">
        <v>1</v>
      </c>
      <c r="H173" s="6">
        <v>47</v>
      </c>
      <c r="I173" s="9">
        <v>47</v>
      </c>
      <c r="J173" s="9">
        <f t="shared" si="18"/>
        <v>3857</v>
      </c>
      <c r="K173" s="10">
        <f t="shared" si="16"/>
        <v>105.75</v>
      </c>
      <c r="L173" s="16">
        <f t="shared" si="19"/>
        <v>1.1875499999999999</v>
      </c>
    </row>
    <row r="174" spans="1:12" x14ac:dyDescent="0.25">
      <c r="A174" s="6" t="s">
        <v>29</v>
      </c>
      <c r="B174" s="6">
        <v>14</v>
      </c>
      <c r="C174" s="6" t="str">
        <f>'[1]key drivers'!A$26</f>
        <v>Bravo</v>
      </c>
      <c r="D174" s="6">
        <f>'[1]key drivers'!F$20</f>
        <v>104</v>
      </c>
      <c r="E174" s="8">
        <v>2017</v>
      </c>
      <c r="F174" s="6">
        <v>4.5</v>
      </c>
      <c r="G174" s="6">
        <v>0.5</v>
      </c>
      <c r="H174" s="6">
        <f t="shared" si="17"/>
        <v>312</v>
      </c>
      <c r="I174" s="9">
        <f>203-47</f>
        <v>156</v>
      </c>
      <c r="J174" s="9">
        <f t="shared" si="18"/>
        <v>4013</v>
      </c>
      <c r="K174" s="10">
        <f t="shared" si="16"/>
        <v>702</v>
      </c>
      <c r="L174" s="16">
        <f t="shared" si="19"/>
        <v>1.2577499999999999</v>
      </c>
    </row>
    <row r="175" spans="1:12" x14ac:dyDescent="0.25">
      <c r="A175" s="6" t="s">
        <v>29</v>
      </c>
      <c r="B175" s="6">
        <v>14</v>
      </c>
      <c r="C175" s="6" t="s">
        <v>30</v>
      </c>
      <c r="D175" s="6">
        <v>104</v>
      </c>
      <c r="E175" s="6">
        <v>16</v>
      </c>
      <c r="F175" s="6">
        <v>4.5</v>
      </c>
      <c r="G175" s="6">
        <v>0.5</v>
      </c>
      <c r="H175" s="6">
        <v>94</v>
      </c>
      <c r="I175" s="9">
        <v>47</v>
      </c>
      <c r="J175" s="9">
        <f t="shared" si="18"/>
        <v>4060</v>
      </c>
      <c r="K175" s="10">
        <f t="shared" si="16"/>
        <v>211.5</v>
      </c>
      <c r="L175" s="16">
        <f t="shared" si="19"/>
        <v>1.2788999999999999</v>
      </c>
    </row>
    <row r="176" spans="1:12" x14ac:dyDescent="0.25">
      <c r="A176" s="6" t="s">
        <v>29</v>
      </c>
      <c r="B176" s="6">
        <v>15</v>
      </c>
      <c r="C176" s="6" t="str">
        <f>'[1]key drivers'!A$26</f>
        <v>Bravo</v>
      </c>
      <c r="D176" s="6">
        <f>'[1]key drivers'!F$20</f>
        <v>104</v>
      </c>
      <c r="E176" s="8">
        <v>2017</v>
      </c>
      <c r="F176" s="6">
        <v>4.5</v>
      </c>
      <c r="G176" s="6">
        <v>0.5</v>
      </c>
      <c r="H176" s="6">
        <f t="shared" si="17"/>
        <v>312</v>
      </c>
      <c r="I176" s="9">
        <f>203-47</f>
        <v>156</v>
      </c>
      <c r="J176" s="9">
        <f t="shared" si="18"/>
        <v>4216</v>
      </c>
      <c r="K176" s="10">
        <f t="shared" si="16"/>
        <v>702</v>
      </c>
      <c r="L176" s="16">
        <f t="shared" si="19"/>
        <v>1.3491</v>
      </c>
    </row>
    <row r="177" spans="1:12" x14ac:dyDescent="0.25">
      <c r="A177" s="6" t="s">
        <v>29</v>
      </c>
      <c r="B177" s="6">
        <v>15</v>
      </c>
      <c r="C177" s="6" t="s">
        <v>30</v>
      </c>
      <c r="D177" s="6">
        <v>104</v>
      </c>
      <c r="E177" s="6">
        <v>16</v>
      </c>
      <c r="F177" s="6">
        <v>4.5</v>
      </c>
      <c r="G177" s="6">
        <v>0.5</v>
      </c>
      <c r="H177" s="6">
        <v>94</v>
      </c>
      <c r="I177" s="9">
        <v>47</v>
      </c>
      <c r="J177" s="9">
        <f t="shared" si="18"/>
        <v>4263</v>
      </c>
      <c r="K177" s="10">
        <f t="shared" si="16"/>
        <v>211.5</v>
      </c>
      <c r="L177" s="16">
        <f t="shared" si="19"/>
        <v>1.37025</v>
      </c>
    </row>
    <row r="178" spans="1:12" x14ac:dyDescent="0.25">
      <c r="A178" s="6" t="s">
        <v>29</v>
      </c>
      <c r="B178" s="6">
        <v>16</v>
      </c>
      <c r="C178" s="6" t="str">
        <f>'[1]key drivers'!A$26</f>
        <v>Bravo</v>
      </c>
      <c r="D178" s="6">
        <f>'[1]key drivers'!F$20</f>
        <v>104</v>
      </c>
      <c r="E178" s="8">
        <v>2017</v>
      </c>
      <c r="F178" s="6">
        <v>4.5</v>
      </c>
      <c r="G178" s="6">
        <v>0.5</v>
      </c>
      <c r="H178" s="6">
        <f t="shared" si="17"/>
        <v>312</v>
      </c>
      <c r="I178" s="9">
        <v>156</v>
      </c>
      <c r="J178" s="9">
        <f t="shared" si="18"/>
        <v>4419</v>
      </c>
      <c r="K178" s="10">
        <f t="shared" si="16"/>
        <v>702</v>
      </c>
      <c r="L178" s="16">
        <f t="shared" si="19"/>
        <v>1.44045</v>
      </c>
    </row>
    <row r="179" spans="1:12" x14ac:dyDescent="0.25">
      <c r="A179" s="6" t="s">
        <v>29</v>
      </c>
      <c r="B179" s="6">
        <v>16</v>
      </c>
      <c r="C179" s="6" t="s">
        <v>30</v>
      </c>
      <c r="D179" s="6">
        <v>104</v>
      </c>
      <c r="E179" s="6">
        <v>16</v>
      </c>
      <c r="F179" s="6">
        <v>4.5</v>
      </c>
      <c r="G179" s="6">
        <v>0.5</v>
      </c>
      <c r="H179" s="6">
        <v>94</v>
      </c>
      <c r="I179" s="9">
        <v>47</v>
      </c>
      <c r="J179" s="9">
        <f t="shared" si="18"/>
        <v>4466</v>
      </c>
      <c r="K179" s="10">
        <f t="shared" si="16"/>
        <v>211.5</v>
      </c>
      <c r="L179" s="16">
        <f t="shared" si="19"/>
        <v>1.4616</v>
      </c>
    </row>
    <row r="180" spans="1:12" x14ac:dyDescent="0.25">
      <c r="A180" s="6" t="s">
        <v>29</v>
      </c>
      <c r="B180" s="6">
        <v>17</v>
      </c>
      <c r="C180" s="6" t="str">
        <f>'[1]key drivers'!A$26</f>
        <v>Bravo</v>
      </c>
      <c r="D180" s="6">
        <f>'[1]key drivers'!F$20</f>
        <v>104</v>
      </c>
      <c r="E180" s="8">
        <v>2017</v>
      </c>
      <c r="F180" s="6">
        <v>2.25</v>
      </c>
      <c r="G180" s="6">
        <v>1</v>
      </c>
      <c r="H180" s="6">
        <f t="shared" si="17"/>
        <v>156</v>
      </c>
      <c r="I180" s="9">
        <v>156</v>
      </c>
      <c r="J180" s="9">
        <f t="shared" si="18"/>
        <v>4622</v>
      </c>
      <c r="K180" s="10">
        <f t="shared" si="16"/>
        <v>351</v>
      </c>
      <c r="L180" s="16">
        <f t="shared" si="19"/>
        <v>1.4966999999999999</v>
      </c>
    </row>
    <row r="181" spans="1:12" x14ac:dyDescent="0.25">
      <c r="A181" s="6" t="s">
        <v>29</v>
      </c>
      <c r="B181" s="6">
        <v>17</v>
      </c>
      <c r="C181" s="6" t="s">
        <v>30</v>
      </c>
      <c r="D181" s="6">
        <v>104</v>
      </c>
      <c r="E181" s="6">
        <v>16</v>
      </c>
      <c r="F181" s="6">
        <v>2.25</v>
      </c>
      <c r="G181" s="6">
        <v>1</v>
      </c>
      <c r="H181" s="6">
        <v>47</v>
      </c>
      <c r="I181" s="9">
        <v>47</v>
      </c>
      <c r="J181" s="9">
        <f t="shared" si="18"/>
        <v>4669</v>
      </c>
      <c r="K181" s="10">
        <f t="shared" si="16"/>
        <v>105.75</v>
      </c>
      <c r="L181" s="16">
        <f t="shared" si="19"/>
        <v>1.5072749999999999</v>
      </c>
    </row>
    <row r="182" spans="1:12" x14ac:dyDescent="0.25">
      <c r="A182" s="6" t="s">
        <v>29</v>
      </c>
      <c r="B182" s="6">
        <v>17</v>
      </c>
      <c r="C182" s="6" t="str">
        <f>'[1]key drivers'!A$23</f>
        <v>G/S</v>
      </c>
      <c r="D182" s="6">
        <f>'[1]key drivers'!F$20</f>
        <v>104</v>
      </c>
      <c r="E182" s="8" t="s">
        <v>32</v>
      </c>
      <c r="F182" s="6">
        <v>2.25</v>
      </c>
      <c r="G182" s="6">
        <v>1</v>
      </c>
      <c r="H182" s="6">
        <f t="shared" si="17"/>
        <v>203</v>
      </c>
      <c r="I182" s="9">
        <v>203</v>
      </c>
      <c r="J182" s="9">
        <f t="shared" si="18"/>
        <v>4872</v>
      </c>
      <c r="K182" s="10">
        <f t="shared" si="16"/>
        <v>456.75</v>
      </c>
      <c r="L182" s="16">
        <f t="shared" si="19"/>
        <v>1.5529499999999998</v>
      </c>
    </row>
    <row r="183" spans="1:12" x14ac:dyDescent="0.25">
      <c r="A183" s="6" t="s">
        <v>29</v>
      </c>
      <c r="B183" s="6">
        <v>18</v>
      </c>
      <c r="C183" s="6" t="str">
        <f>'[1]key drivers'!A$23</f>
        <v>G/S</v>
      </c>
      <c r="D183" s="6">
        <f>'[1]key drivers'!F$20</f>
        <v>104</v>
      </c>
      <c r="E183" s="8" t="s">
        <v>32</v>
      </c>
      <c r="F183" s="6">
        <v>4.5</v>
      </c>
      <c r="G183" s="6">
        <v>0.5</v>
      </c>
      <c r="H183" s="6">
        <f t="shared" si="17"/>
        <v>149</v>
      </c>
      <c r="I183" s="9">
        <v>74.5</v>
      </c>
      <c r="J183" s="9">
        <f t="shared" si="18"/>
        <v>4946.5</v>
      </c>
      <c r="K183" s="10">
        <f t="shared" si="16"/>
        <v>335.25</v>
      </c>
      <c r="L183" s="16">
        <f t="shared" si="19"/>
        <v>1.5864749999999999</v>
      </c>
    </row>
    <row r="184" spans="1:12" x14ac:dyDescent="0.25">
      <c r="A184" s="6" t="s">
        <v>29</v>
      </c>
      <c r="B184" s="6">
        <v>19</v>
      </c>
      <c r="C184" s="6" t="str">
        <f>'[1]key drivers'!A$26</f>
        <v>Bravo</v>
      </c>
      <c r="D184" s="6">
        <f>'[1]key drivers'!F$20</f>
        <v>104</v>
      </c>
      <c r="E184" s="8">
        <v>2017</v>
      </c>
      <c r="F184" s="6">
        <v>4.5</v>
      </c>
      <c r="G184" s="6">
        <v>0.5</v>
      </c>
      <c r="H184" s="6">
        <f>ROUND(I184/G184,0)</f>
        <v>138</v>
      </c>
      <c r="I184" s="9">
        <v>68.8</v>
      </c>
      <c r="J184" s="9">
        <f t="shared" si="18"/>
        <v>5015.3</v>
      </c>
      <c r="K184" s="10">
        <f t="shared" si="16"/>
        <v>309.59999999999997</v>
      </c>
      <c r="L184" s="16">
        <f t="shared" si="19"/>
        <v>1.617435</v>
      </c>
    </row>
    <row r="185" spans="1:12" x14ac:dyDescent="0.25">
      <c r="A185" s="6"/>
      <c r="B185" s="6"/>
      <c r="C185" s="6"/>
      <c r="D185" s="6"/>
      <c r="E185" s="8"/>
      <c r="F185" s="6"/>
      <c r="G185" s="6"/>
      <c r="H185" s="6"/>
      <c r="I185" s="9"/>
      <c r="J185" s="9"/>
      <c r="K185" s="10"/>
      <c r="L185" s="16"/>
    </row>
    <row r="186" spans="1:12" x14ac:dyDescent="0.25">
      <c r="A186" s="6" t="s">
        <v>33</v>
      </c>
      <c r="B186" s="6">
        <v>1</v>
      </c>
      <c r="C186" s="6" t="str">
        <f>'[1]key drivers'!$A$20</f>
        <v>P/L</v>
      </c>
      <c r="D186" s="6">
        <f>'[1]key drivers'!F$20</f>
        <v>104</v>
      </c>
      <c r="E186" s="8" t="s">
        <v>34</v>
      </c>
      <c r="F186" s="6">
        <v>5.0999999999999996</v>
      </c>
      <c r="G186" s="30">
        <f>I186/H186</f>
        <v>2.1631578947368419</v>
      </c>
      <c r="H186" s="6">
        <v>95</v>
      </c>
      <c r="I186" s="9">
        <v>205.5</v>
      </c>
      <c r="J186" s="9">
        <f>I186</f>
        <v>205.5</v>
      </c>
      <c r="K186" s="10">
        <f t="shared" ref="K186:K241" si="20">F186*I186</f>
        <v>1048.05</v>
      </c>
      <c r="L186" s="16">
        <f>K186/10000</f>
        <v>0.104805</v>
      </c>
    </row>
    <row r="187" spans="1:12" x14ac:dyDescent="0.25">
      <c r="A187" s="6" t="s">
        <v>33</v>
      </c>
      <c r="B187" s="6">
        <v>2</v>
      </c>
      <c r="C187" s="6" t="str">
        <f>'[1]key drivers'!$A$20</f>
        <v>P/L</v>
      </c>
      <c r="D187" s="6">
        <f>'[1]key drivers'!F$20</f>
        <v>104</v>
      </c>
      <c r="E187" s="8" t="s">
        <v>34</v>
      </c>
      <c r="F187" s="6">
        <v>5.0999999999999996</v>
      </c>
      <c r="G187" s="30">
        <f t="shared" ref="G187:G205" si="21">I187/H187</f>
        <v>2.2096774193548385</v>
      </c>
      <c r="H187" s="6">
        <v>93</v>
      </c>
      <c r="I187" s="9">
        <v>205.5</v>
      </c>
      <c r="J187" s="9">
        <f>I187+J186</f>
        <v>411</v>
      </c>
      <c r="K187" s="10">
        <f t="shared" si="20"/>
        <v>1048.05</v>
      </c>
      <c r="L187" s="16">
        <f>K187/10000+L186</f>
        <v>0.20960999999999999</v>
      </c>
    </row>
    <row r="188" spans="1:12" x14ac:dyDescent="0.25">
      <c r="A188" s="6" t="s">
        <v>33</v>
      </c>
      <c r="B188" s="6">
        <v>3</v>
      </c>
      <c r="C188" s="6" t="str">
        <f>'[1]key drivers'!$A$20</f>
        <v>P/L</v>
      </c>
      <c r="D188" s="6">
        <f>'[1]key drivers'!F$20</f>
        <v>104</v>
      </c>
      <c r="E188" s="8" t="s">
        <v>34</v>
      </c>
      <c r="F188" s="6">
        <v>5.0999999999999996</v>
      </c>
      <c r="G188" s="30">
        <f t="shared" si="21"/>
        <v>2.3352272727272729</v>
      </c>
      <c r="H188" s="6">
        <v>88</v>
      </c>
      <c r="I188" s="9">
        <v>205.5</v>
      </c>
      <c r="J188" s="9">
        <f t="shared" ref="J188:J205" si="22">I188+J187</f>
        <v>616.5</v>
      </c>
      <c r="K188" s="10">
        <f t="shared" si="20"/>
        <v>1048.05</v>
      </c>
      <c r="L188" s="16">
        <f t="shared" ref="L188:L205" si="23">K188/10000+L187</f>
        <v>0.314415</v>
      </c>
    </row>
    <row r="189" spans="1:12" x14ac:dyDescent="0.25">
      <c r="A189" s="6" t="s">
        <v>33</v>
      </c>
      <c r="B189" s="6">
        <v>4</v>
      </c>
      <c r="C189" s="6" t="str">
        <f>'[1]key drivers'!$A$20</f>
        <v>P/L</v>
      </c>
      <c r="D189" s="6">
        <f>'[1]key drivers'!F$20</f>
        <v>104</v>
      </c>
      <c r="E189" s="8" t="s">
        <v>34</v>
      </c>
      <c r="F189" s="6">
        <v>5.0999999999999996</v>
      </c>
      <c r="G189" s="30">
        <f t="shared" si="21"/>
        <v>2.0499999999999998</v>
      </c>
      <c r="H189" s="6">
        <v>20</v>
      </c>
      <c r="I189" s="9">
        <v>41</v>
      </c>
      <c r="J189" s="9">
        <f t="shared" si="22"/>
        <v>657.5</v>
      </c>
      <c r="K189" s="10">
        <f>F189*I189</f>
        <v>209.1</v>
      </c>
      <c r="L189" s="16">
        <f>K189/10000+L188</f>
        <v>0.33532499999999998</v>
      </c>
    </row>
    <row r="190" spans="1:12" x14ac:dyDescent="0.25">
      <c r="A190" s="6" t="s">
        <v>33</v>
      </c>
      <c r="B190" s="6">
        <v>4</v>
      </c>
      <c r="C190" s="6" t="str">
        <f>'[1]key drivers'!$A$23</f>
        <v>G/S</v>
      </c>
      <c r="D190" s="6">
        <f>'[1]key drivers'!F$20</f>
        <v>104</v>
      </c>
      <c r="E190" s="8" t="s">
        <v>34</v>
      </c>
      <c r="F190" s="6">
        <v>5.0999999999999996</v>
      </c>
      <c r="G190" s="30">
        <f t="shared" si="21"/>
        <v>1.9698795180722892</v>
      </c>
      <c r="H190" s="6">
        <f>103-H189</f>
        <v>83</v>
      </c>
      <c r="I190" s="9">
        <f>204.5-I189</f>
        <v>163.5</v>
      </c>
      <c r="J190" s="9">
        <f t="shared" si="22"/>
        <v>821</v>
      </c>
      <c r="K190" s="10">
        <f t="shared" si="20"/>
        <v>833.84999999999991</v>
      </c>
      <c r="L190" s="16">
        <f>K190/10000+L189</f>
        <v>0.41870999999999997</v>
      </c>
    </row>
    <row r="191" spans="1:12" x14ac:dyDescent="0.25">
      <c r="A191" s="6" t="s">
        <v>33</v>
      </c>
      <c r="B191" s="6">
        <v>5</v>
      </c>
      <c r="C191" s="6" t="str">
        <f>'[1]key drivers'!$A$20</f>
        <v>P/L</v>
      </c>
      <c r="D191" s="6">
        <f>'[1]key drivers'!F$20</f>
        <v>104</v>
      </c>
      <c r="E191" s="8" t="s">
        <v>34</v>
      </c>
      <c r="F191" s="6">
        <v>5.0999999999999996</v>
      </c>
      <c r="G191" s="30">
        <f t="shared" si="21"/>
        <v>2.3779069767441858</v>
      </c>
      <c r="H191" s="6">
        <v>86</v>
      </c>
      <c r="I191" s="9">
        <v>204.5</v>
      </c>
      <c r="J191" s="9">
        <f t="shared" si="22"/>
        <v>1025.5</v>
      </c>
      <c r="K191" s="10">
        <f t="shared" si="20"/>
        <v>1042.9499999999998</v>
      </c>
      <c r="L191" s="16">
        <f t="shared" si="23"/>
        <v>0.52300499999999994</v>
      </c>
    </row>
    <row r="192" spans="1:12" x14ac:dyDescent="0.25">
      <c r="A192" s="6" t="s">
        <v>33</v>
      </c>
      <c r="B192" s="6">
        <v>6</v>
      </c>
      <c r="C192" s="6" t="str">
        <f>'[1]key drivers'!$A$20</f>
        <v>P/L</v>
      </c>
      <c r="D192" s="6">
        <f>'[1]key drivers'!F$20</f>
        <v>104</v>
      </c>
      <c r="E192" s="8" t="s">
        <v>34</v>
      </c>
      <c r="F192" s="6">
        <v>5.0999999999999996</v>
      </c>
      <c r="G192" s="30">
        <f t="shared" si="21"/>
        <v>2.4058823529411764</v>
      </c>
      <c r="H192" s="6">
        <v>85</v>
      </c>
      <c r="I192" s="9">
        <v>204.5</v>
      </c>
      <c r="J192" s="9">
        <f t="shared" si="22"/>
        <v>1230</v>
      </c>
      <c r="K192" s="10">
        <f t="shared" si="20"/>
        <v>1042.9499999999998</v>
      </c>
      <c r="L192" s="16">
        <f t="shared" si="23"/>
        <v>0.62729999999999997</v>
      </c>
    </row>
    <row r="193" spans="1:12" x14ac:dyDescent="0.25">
      <c r="A193" s="6" t="s">
        <v>33</v>
      </c>
      <c r="B193" s="6">
        <v>7</v>
      </c>
      <c r="C193" s="6" t="str">
        <f>'[1]key drivers'!$A$20</f>
        <v>P/L</v>
      </c>
      <c r="D193" s="6">
        <f>'[1]key drivers'!F$20</f>
        <v>104</v>
      </c>
      <c r="E193" s="8" t="s">
        <v>34</v>
      </c>
      <c r="F193" s="6">
        <v>5.0999999999999996</v>
      </c>
      <c r="G193" s="30">
        <f t="shared" si="21"/>
        <v>2.463855421686747</v>
      </c>
      <c r="H193" s="6">
        <v>83</v>
      </c>
      <c r="I193" s="9">
        <v>204.5</v>
      </c>
      <c r="J193" s="9">
        <f t="shared" si="22"/>
        <v>1434.5</v>
      </c>
      <c r="K193" s="10">
        <f t="shared" si="20"/>
        <v>1042.9499999999998</v>
      </c>
      <c r="L193" s="16">
        <f t="shared" si="23"/>
        <v>0.731595</v>
      </c>
    </row>
    <row r="194" spans="1:12" x14ac:dyDescent="0.25">
      <c r="A194" s="6" t="s">
        <v>33</v>
      </c>
      <c r="B194" s="6">
        <v>8</v>
      </c>
      <c r="C194" s="6" t="str">
        <f>'[1]key drivers'!$A$20</f>
        <v>P/L</v>
      </c>
      <c r="D194" s="6">
        <f>'[1]key drivers'!F$20</f>
        <v>104</v>
      </c>
      <c r="E194" s="8" t="s">
        <v>34</v>
      </c>
      <c r="F194" s="6">
        <v>5.0999999999999996</v>
      </c>
      <c r="G194" s="30">
        <f t="shared" si="21"/>
        <v>2.4345238095238093</v>
      </c>
      <c r="H194" s="6">
        <v>84</v>
      </c>
      <c r="I194" s="9">
        <v>204.5</v>
      </c>
      <c r="J194" s="9">
        <f t="shared" si="22"/>
        <v>1639</v>
      </c>
      <c r="K194" s="10">
        <f t="shared" si="20"/>
        <v>1042.9499999999998</v>
      </c>
      <c r="L194" s="16">
        <f t="shared" si="23"/>
        <v>0.83589000000000002</v>
      </c>
    </row>
    <row r="195" spans="1:12" x14ac:dyDescent="0.25">
      <c r="A195" s="6" t="s">
        <v>33</v>
      </c>
      <c r="B195" s="6">
        <v>9</v>
      </c>
      <c r="C195" s="6" t="str">
        <f>'[1]key drivers'!$A$23</f>
        <v>G/S</v>
      </c>
      <c r="D195" s="6">
        <f>'[1]key drivers'!F$20</f>
        <v>104</v>
      </c>
      <c r="E195" s="8" t="s">
        <v>34</v>
      </c>
      <c r="F195" s="6">
        <v>5.0999999999999996</v>
      </c>
      <c r="G195" s="30">
        <f t="shared" si="21"/>
        <v>2.0049019607843137</v>
      </c>
      <c r="H195" s="6">
        <v>102</v>
      </c>
      <c r="I195" s="9">
        <v>204.5</v>
      </c>
      <c r="J195" s="9">
        <f t="shared" si="22"/>
        <v>1843.5</v>
      </c>
      <c r="K195" s="10">
        <f t="shared" si="20"/>
        <v>1042.9499999999998</v>
      </c>
      <c r="L195" s="16">
        <f t="shared" si="23"/>
        <v>0.94018500000000005</v>
      </c>
    </row>
    <row r="196" spans="1:12" x14ac:dyDescent="0.25">
      <c r="A196" s="6" t="s">
        <v>33</v>
      </c>
      <c r="B196" s="6">
        <v>10</v>
      </c>
      <c r="C196" s="6" t="str">
        <f>'[1]key drivers'!$A$20</f>
        <v>P/L</v>
      </c>
      <c r="D196" s="6">
        <f>'[1]key drivers'!F$20</f>
        <v>104</v>
      </c>
      <c r="E196" s="8" t="s">
        <v>34</v>
      </c>
      <c r="F196" s="6">
        <v>5.0999999999999996</v>
      </c>
      <c r="G196" s="30">
        <f t="shared" si="21"/>
        <v>2.3779069767441858</v>
      </c>
      <c r="H196" s="6">
        <v>86</v>
      </c>
      <c r="I196" s="9">
        <v>204.5</v>
      </c>
      <c r="J196" s="9">
        <f t="shared" si="22"/>
        <v>2048</v>
      </c>
      <c r="K196" s="10">
        <f t="shared" si="20"/>
        <v>1042.9499999999998</v>
      </c>
      <c r="L196" s="16">
        <f t="shared" si="23"/>
        <v>1.0444800000000001</v>
      </c>
    </row>
    <row r="197" spans="1:12" x14ac:dyDescent="0.25">
      <c r="A197" s="6" t="s">
        <v>33</v>
      </c>
      <c r="B197" s="6">
        <v>11</v>
      </c>
      <c r="C197" s="6" t="str">
        <f>'[1]key drivers'!$A$20</f>
        <v>P/L</v>
      </c>
      <c r="D197" s="6">
        <f>'[1]key drivers'!F$20</f>
        <v>104</v>
      </c>
      <c r="E197" s="8" t="s">
        <v>34</v>
      </c>
      <c r="F197" s="6">
        <v>5.0999999999999996</v>
      </c>
      <c r="G197" s="30">
        <f t="shared" si="21"/>
        <v>2.3779069767441858</v>
      </c>
      <c r="H197" s="6">
        <v>86</v>
      </c>
      <c r="I197" s="9">
        <v>204.5</v>
      </c>
      <c r="J197" s="9">
        <f t="shared" si="22"/>
        <v>2252.5</v>
      </c>
      <c r="K197" s="10">
        <f t="shared" si="20"/>
        <v>1042.9499999999998</v>
      </c>
      <c r="L197" s="16">
        <f t="shared" si="23"/>
        <v>1.1487750000000001</v>
      </c>
    </row>
    <row r="198" spans="1:12" x14ac:dyDescent="0.25">
      <c r="A198" s="6" t="s">
        <v>33</v>
      </c>
      <c r="B198" s="6">
        <v>12</v>
      </c>
      <c r="C198" s="6" t="str">
        <f>'[1]key drivers'!$A$20</f>
        <v>P/L</v>
      </c>
      <c r="D198" s="6">
        <f>'[1]key drivers'!F$20</f>
        <v>104</v>
      </c>
      <c r="E198" s="8" t="s">
        <v>34</v>
      </c>
      <c r="F198" s="6">
        <v>5.0999999999999996</v>
      </c>
      <c r="G198" s="30">
        <f t="shared" si="21"/>
        <v>2.3505747126436782</v>
      </c>
      <c r="H198" s="6">
        <v>87</v>
      </c>
      <c r="I198" s="9">
        <v>204.5</v>
      </c>
      <c r="J198" s="9">
        <f t="shared" si="22"/>
        <v>2457</v>
      </c>
      <c r="K198" s="10">
        <f t="shared" si="20"/>
        <v>1042.9499999999998</v>
      </c>
      <c r="L198" s="16">
        <f t="shared" si="23"/>
        <v>1.2530700000000001</v>
      </c>
    </row>
    <row r="199" spans="1:12" x14ac:dyDescent="0.25">
      <c r="A199" s="6" t="s">
        <v>33</v>
      </c>
      <c r="B199" s="6">
        <v>13</v>
      </c>
      <c r="C199" s="6" t="str">
        <f>'[1]key drivers'!$A$20</f>
        <v>P/L</v>
      </c>
      <c r="D199" s="6">
        <f>'[1]key drivers'!F$20</f>
        <v>104</v>
      </c>
      <c r="E199" s="8" t="s">
        <v>34</v>
      </c>
      <c r="F199" s="6">
        <v>5.0999999999999996</v>
      </c>
      <c r="G199" s="30">
        <f t="shared" si="21"/>
        <v>2.3238636363636362</v>
      </c>
      <c r="H199" s="6">
        <v>88</v>
      </c>
      <c r="I199" s="9">
        <v>204.5</v>
      </c>
      <c r="J199" s="9">
        <f t="shared" si="22"/>
        <v>2661.5</v>
      </c>
      <c r="K199" s="10">
        <f t="shared" si="20"/>
        <v>1042.9499999999998</v>
      </c>
      <c r="L199" s="16">
        <f t="shared" si="23"/>
        <v>1.3573650000000002</v>
      </c>
    </row>
    <row r="200" spans="1:12" x14ac:dyDescent="0.25">
      <c r="A200" s="6" t="s">
        <v>33</v>
      </c>
      <c r="B200" s="6">
        <v>14</v>
      </c>
      <c r="C200" s="6" t="str">
        <f>'[1]key drivers'!$A$20</f>
        <v>P/L</v>
      </c>
      <c r="D200" s="6">
        <f>'[1]key drivers'!F$20</f>
        <v>104</v>
      </c>
      <c r="E200" s="8" t="s">
        <v>34</v>
      </c>
      <c r="F200" s="6">
        <v>5.0999999999999996</v>
      </c>
      <c r="G200" s="30">
        <f t="shared" si="21"/>
        <v>2.3779069767441858</v>
      </c>
      <c r="H200" s="6">
        <v>86</v>
      </c>
      <c r="I200" s="9">
        <v>204.5</v>
      </c>
      <c r="J200" s="9">
        <f t="shared" si="22"/>
        <v>2866</v>
      </c>
      <c r="K200" s="10">
        <f t="shared" si="20"/>
        <v>1042.9499999999998</v>
      </c>
      <c r="L200" s="16">
        <f t="shared" si="23"/>
        <v>1.4616600000000002</v>
      </c>
    </row>
    <row r="201" spans="1:12" x14ac:dyDescent="0.25">
      <c r="A201" s="6" t="s">
        <v>33</v>
      </c>
      <c r="B201" s="6">
        <v>15</v>
      </c>
      <c r="C201" s="6" t="str">
        <f>'[1]key drivers'!$A$23</f>
        <v>G/S</v>
      </c>
      <c r="D201" s="6">
        <f>'[1]key drivers'!F$20</f>
        <v>104</v>
      </c>
      <c r="E201" s="8" t="s">
        <v>34</v>
      </c>
      <c r="F201" s="6">
        <v>5.0999999999999996</v>
      </c>
      <c r="G201" s="30">
        <f t="shared" si="21"/>
        <v>1.9663461538461537</v>
      </c>
      <c r="H201" s="6">
        <v>104</v>
      </c>
      <c r="I201" s="9">
        <v>204.5</v>
      </c>
      <c r="J201" s="9">
        <f t="shared" si="22"/>
        <v>3070.5</v>
      </c>
      <c r="K201" s="10">
        <f t="shared" si="20"/>
        <v>1042.9499999999998</v>
      </c>
      <c r="L201" s="16">
        <f t="shared" si="23"/>
        <v>1.5659550000000002</v>
      </c>
    </row>
    <row r="202" spans="1:12" x14ac:dyDescent="0.25">
      <c r="A202" s="6" t="s">
        <v>33</v>
      </c>
      <c r="B202" s="6">
        <v>16</v>
      </c>
      <c r="C202" s="6" t="str">
        <f>'[1]key drivers'!$A$20</f>
        <v>P/L</v>
      </c>
      <c r="D202" s="6">
        <f>'[1]key drivers'!F$20</f>
        <v>104</v>
      </c>
      <c r="E202" s="8" t="s">
        <v>34</v>
      </c>
      <c r="F202" s="6">
        <v>5.0999999999999996</v>
      </c>
      <c r="G202" s="30">
        <f t="shared" si="21"/>
        <v>2.4058823529411764</v>
      </c>
      <c r="H202" s="6">
        <v>85</v>
      </c>
      <c r="I202" s="9">
        <v>204.5</v>
      </c>
      <c r="J202" s="9">
        <f t="shared" si="22"/>
        <v>3275</v>
      </c>
      <c r="K202" s="10">
        <f t="shared" si="20"/>
        <v>1042.9499999999998</v>
      </c>
      <c r="L202" s="16">
        <f t="shared" si="23"/>
        <v>1.6702500000000002</v>
      </c>
    </row>
    <row r="203" spans="1:12" x14ac:dyDescent="0.25">
      <c r="A203" s="6" t="s">
        <v>33</v>
      </c>
      <c r="B203" s="6">
        <v>17</v>
      </c>
      <c r="C203" s="6" t="str">
        <f>'[1]key drivers'!$A$20</f>
        <v>P/L</v>
      </c>
      <c r="D203" s="6">
        <f>'[1]key drivers'!F$20</f>
        <v>104</v>
      </c>
      <c r="E203" s="8" t="s">
        <v>34</v>
      </c>
      <c r="F203" s="6">
        <v>5.0999999999999996</v>
      </c>
      <c r="G203" s="30">
        <f t="shared" si="21"/>
        <v>2.4345238095238093</v>
      </c>
      <c r="H203" s="6">
        <v>84</v>
      </c>
      <c r="I203" s="9">
        <v>204.5</v>
      </c>
      <c r="J203" s="9">
        <f t="shared" si="22"/>
        <v>3479.5</v>
      </c>
      <c r="K203" s="10">
        <f t="shared" si="20"/>
        <v>1042.9499999999998</v>
      </c>
      <c r="L203" s="16">
        <f t="shared" si="23"/>
        <v>1.7745450000000003</v>
      </c>
    </row>
    <row r="204" spans="1:12" x14ac:dyDescent="0.25">
      <c r="A204" s="6" t="s">
        <v>33</v>
      </c>
      <c r="B204" s="6">
        <v>18</v>
      </c>
      <c r="C204" s="6" t="str">
        <f>'[1]key drivers'!$A$20</f>
        <v>P/L</v>
      </c>
      <c r="D204" s="6">
        <f>'[1]key drivers'!F$20</f>
        <v>104</v>
      </c>
      <c r="E204" s="8" t="s">
        <v>34</v>
      </c>
      <c r="F204" s="6">
        <v>5.0999999999999996</v>
      </c>
      <c r="G204" s="30">
        <f t="shared" si="21"/>
        <v>2.3505747126436782</v>
      </c>
      <c r="H204" s="6">
        <v>87</v>
      </c>
      <c r="I204" s="9">
        <v>204.5</v>
      </c>
      <c r="J204" s="9">
        <f t="shared" si="22"/>
        <v>3684</v>
      </c>
      <c r="K204" s="10">
        <f t="shared" si="20"/>
        <v>1042.9499999999998</v>
      </c>
      <c r="L204" s="16">
        <f t="shared" si="23"/>
        <v>1.8788400000000003</v>
      </c>
    </row>
    <row r="205" spans="1:12" x14ac:dyDescent="0.25">
      <c r="A205" s="6" t="s">
        <v>33</v>
      </c>
      <c r="B205" s="6">
        <v>19</v>
      </c>
      <c r="C205" s="6" t="str">
        <f>'[1]key drivers'!$A$20</f>
        <v>P/L</v>
      </c>
      <c r="D205" s="6">
        <f>'[1]key drivers'!F$20</f>
        <v>104</v>
      </c>
      <c r="E205" s="8" t="s">
        <v>34</v>
      </c>
      <c r="F205" s="6">
        <v>5.0999999999999996</v>
      </c>
      <c r="G205" s="30">
        <f t="shared" si="21"/>
        <v>2.5246913580246915</v>
      </c>
      <c r="H205" s="6">
        <v>81</v>
      </c>
      <c r="I205" s="9">
        <v>204.5</v>
      </c>
      <c r="J205" s="9">
        <f t="shared" si="22"/>
        <v>3888.5</v>
      </c>
      <c r="K205" s="10">
        <f t="shared" si="20"/>
        <v>1042.9499999999998</v>
      </c>
      <c r="L205" s="16">
        <f t="shared" si="23"/>
        <v>1.9831350000000003</v>
      </c>
    </row>
    <row r="206" spans="1:12" x14ac:dyDescent="0.25">
      <c r="A206" s="6"/>
      <c r="B206" s="6"/>
      <c r="C206" s="6"/>
      <c r="D206" s="6"/>
      <c r="E206" s="8"/>
      <c r="F206" s="6"/>
      <c r="G206" s="6"/>
      <c r="H206" s="6"/>
      <c r="I206" s="9"/>
      <c r="J206" s="9"/>
      <c r="K206" s="10"/>
      <c r="L206" s="16"/>
    </row>
    <row r="207" spans="1:12" x14ac:dyDescent="0.25">
      <c r="A207" s="6" t="s">
        <v>35</v>
      </c>
      <c r="B207" s="6">
        <v>1</v>
      </c>
      <c r="C207" s="6" t="str">
        <f>'[1]key drivers'!A$20</f>
        <v>P/L</v>
      </c>
      <c r="D207" s="6" t="str">
        <f>'[1]key drivers'!F$24</f>
        <v>109/M26</v>
      </c>
      <c r="E207" s="8" t="s">
        <v>36</v>
      </c>
      <c r="F207" s="6">
        <v>4.5</v>
      </c>
      <c r="G207" s="30">
        <v>1.7</v>
      </c>
      <c r="H207" s="6">
        <v>86</v>
      </c>
      <c r="I207" s="9">
        <v>147</v>
      </c>
      <c r="J207" s="9">
        <f>I207</f>
        <v>147</v>
      </c>
      <c r="K207" s="10">
        <f t="shared" si="20"/>
        <v>661.5</v>
      </c>
      <c r="L207" s="16">
        <f>K207/10000</f>
        <v>6.615E-2</v>
      </c>
    </row>
    <row r="208" spans="1:12" x14ac:dyDescent="0.25">
      <c r="A208" s="6" t="s">
        <v>35</v>
      </c>
      <c r="B208" s="6">
        <v>2</v>
      </c>
      <c r="C208" s="6" t="str">
        <f>'[1]key drivers'!A$20</f>
        <v>P/L</v>
      </c>
      <c r="D208" s="6" t="str">
        <f>'[1]key drivers'!F$24</f>
        <v>109/M26</v>
      </c>
      <c r="E208" s="8" t="s">
        <v>36</v>
      </c>
      <c r="F208" s="6">
        <v>4.5</v>
      </c>
      <c r="G208" s="30">
        <v>1.7</v>
      </c>
      <c r="H208" s="6">
        <v>86</v>
      </c>
      <c r="I208" s="9">
        <v>147</v>
      </c>
      <c r="J208" s="9">
        <f>I208+J207</f>
        <v>294</v>
      </c>
      <c r="K208" s="10">
        <f t="shared" si="20"/>
        <v>661.5</v>
      </c>
      <c r="L208" s="16">
        <f t="shared" ref="L208:L241" si="24">K208/10000+L207</f>
        <v>0.1323</v>
      </c>
    </row>
    <row r="209" spans="1:12" x14ac:dyDescent="0.25">
      <c r="A209" s="6" t="s">
        <v>35</v>
      </c>
      <c r="B209" s="6">
        <v>3</v>
      </c>
      <c r="C209" s="6" t="str">
        <f>'[1]key drivers'!A$20</f>
        <v>P/L</v>
      </c>
      <c r="D209" s="6" t="str">
        <f>'[1]key drivers'!F$24</f>
        <v>109/M26</v>
      </c>
      <c r="E209" s="8" t="s">
        <v>36</v>
      </c>
      <c r="F209" s="6">
        <v>4.5</v>
      </c>
      <c r="G209" s="30">
        <v>1.7</v>
      </c>
      <c r="H209" s="6">
        <v>86</v>
      </c>
      <c r="I209" s="9">
        <v>147</v>
      </c>
      <c r="J209" s="9">
        <f t="shared" ref="J209:J241" si="25">I209+J208</f>
        <v>441</v>
      </c>
      <c r="K209" s="10">
        <f t="shared" si="20"/>
        <v>661.5</v>
      </c>
      <c r="L209" s="16">
        <f t="shared" si="24"/>
        <v>0.19845000000000002</v>
      </c>
    </row>
    <row r="210" spans="1:12" x14ac:dyDescent="0.25">
      <c r="A210" s="6" t="s">
        <v>35</v>
      </c>
      <c r="B210" s="6">
        <v>4</v>
      </c>
      <c r="C210" s="6" t="str">
        <f>'[1]key drivers'!A$20</f>
        <v>P/L</v>
      </c>
      <c r="D210" s="6" t="str">
        <f>'[1]key drivers'!F$24</f>
        <v>109/M26</v>
      </c>
      <c r="E210" s="8" t="s">
        <v>36</v>
      </c>
      <c r="F210" s="6">
        <v>4.5</v>
      </c>
      <c r="G210" s="30">
        <v>1.7</v>
      </c>
      <c r="H210" s="6">
        <v>86</v>
      </c>
      <c r="I210" s="9">
        <v>147</v>
      </c>
      <c r="J210" s="9">
        <f t="shared" si="25"/>
        <v>588</v>
      </c>
      <c r="K210" s="10">
        <f t="shared" si="20"/>
        <v>661.5</v>
      </c>
      <c r="L210" s="16">
        <f t="shared" si="24"/>
        <v>0.2646</v>
      </c>
    </row>
    <row r="211" spans="1:12" x14ac:dyDescent="0.25">
      <c r="A211" s="6" t="s">
        <v>35</v>
      </c>
      <c r="B211" s="6">
        <v>5</v>
      </c>
      <c r="C211" s="6" t="str">
        <f>'[1]key drivers'!A$20</f>
        <v>P/L</v>
      </c>
      <c r="D211" s="6" t="str">
        <f>'[1]key drivers'!F$24</f>
        <v>109/M26</v>
      </c>
      <c r="E211" s="8" t="s">
        <v>36</v>
      </c>
      <c r="F211" s="6">
        <v>4.5</v>
      </c>
      <c r="G211" s="30">
        <v>1.7</v>
      </c>
      <c r="H211" s="6">
        <v>86</v>
      </c>
      <c r="I211" s="9">
        <v>147</v>
      </c>
      <c r="J211" s="9">
        <f t="shared" si="25"/>
        <v>735</v>
      </c>
      <c r="K211" s="10">
        <f t="shared" si="20"/>
        <v>661.5</v>
      </c>
      <c r="L211" s="16">
        <f t="shared" si="24"/>
        <v>0.33074999999999999</v>
      </c>
    </row>
    <row r="212" spans="1:12" x14ac:dyDescent="0.25">
      <c r="A212" s="6" t="s">
        <v>35</v>
      </c>
      <c r="B212" s="6">
        <v>6</v>
      </c>
      <c r="C212" s="6" t="str">
        <f>'[1]key drivers'!A$20</f>
        <v>P/L</v>
      </c>
      <c r="D212" s="6" t="str">
        <f>'[1]key drivers'!F$24</f>
        <v>109/M26</v>
      </c>
      <c r="E212" s="8" t="s">
        <v>36</v>
      </c>
      <c r="F212" s="6">
        <v>4.5</v>
      </c>
      <c r="G212" s="30">
        <v>1.7</v>
      </c>
      <c r="H212" s="6">
        <v>86</v>
      </c>
      <c r="I212" s="9">
        <v>147</v>
      </c>
      <c r="J212" s="9">
        <f t="shared" si="25"/>
        <v>882</v>
      </c>
      <c r="K212" s="10">
        <f t="shared" si="20"/>
        <v>661.5</v>
      </c>
      <c r="L212" s="16">
        <f t="shared" si="24"/>
        <v>0.39689999999999998</v>
      </c>
    </row>
    <row r="213" spans="1:12" x14ac:dyDescent="0.25">
      <c r="A213" s="6" t="s">
        <v>35</v>
      </c>
      <c r="B213" s="6">
        <v>7</v>
      </c>
      <c r="C213" s="6" t="str">
        <f>'[1]key drivers'!A$20</f>
        <v>P/L</v>
      </c>
      <c r="D213" s="6" t="str">
        <f>'[1]key drivers'!F$24</f>
        <v>109/M26</v>
      </c>
      <c r="E213" s="8" t="s">
        <v>36</v>
      </c>
      <c r="F213" s="6">
        <v>4.5</v>
      </c>
      <c r="G213" s="30">
        <v>1.7</v>
      </c>
      <c r="H213" s="6">
        <v>86</v>
      </c>
      <c r="I213" s="9">
        <v>147</v>
      </c>
      <c r="J213" s="9">
        <f t="shared" si="25"/>
        <v>1029</v>
      </c>
      <c r="K213" s="10">
        <f t="shared" si="20"/>
        <v>661.5</v>
      </c>
      <c r="L213" s="16">
        <f t="shared" si="24"/>
        <v>0.46304999999999996</v>
      </c>
    </row>
    <row r="214" spans="1:12" x14ac:dyDescent="0.25">
      <c r="A214" s="6" t="s">
        <v>35</v>
      </c>
      <c r="B214" s="6">
        <v>8</v>
      </c>
      <c r="C214" s="6" t="str">
        <f>'[1]key drivers'!A$20</f>
        <v>P/L</v>
      </c>
      <c r="D214" s="6" t="str">
        <f>'[1]key drivers'!F$24</f>
        <v>109/M26</v>
      </c>
      <c r="E214" s="8" t="s">
        <v>36</v>
      </c>
      <c r="F214" s="6">
        <v>4.5</v>
      </c>
      <c r="G214" s="30">
        <v>1.7</v>
      </c>
      <c r="H214" s="6">
        <v>86</v>
      </c>
      <c r="I214" s="9">
        <v>147</v>
      </c>
      <c r="J214" s="9">
        <f t="shared" si="25"/>
        <v>1176</v>
      </c>
      <c r="K214" s="10">
        <f t="shared" si="20"/>
        <v>661.5</v>
      </c>
      <c r="L214" s="16">
        <f t="shared" si="24"/>
        <v>0.5292</v>
      </c>
    </row>
    <row r="215" spans="1:12" x14ac:dyDescent="0.25">
      <c r="A215" s="6" t="s">
        <v>35</v>
      </c>
      <c r="B215" s="6">
        <v>9</v>
      </c>
      <c r="C215" s="6" t="str">
        <f>'[1]key drivers'!A$20</f>
        <v>P/L</v>
      </c>
      <c r="D215" s="6" t="str">
        <f>'[1]key drivers'!F$24</f>
        <v>109/M26</v>
      </c>
      <c r="E215" s="8" t="s">
        <v>36</v>
      </c>
      <c r="F215" s="6">
        <v>4.5</v>
      </c>
      <c r="G215" s="30">
        <v>1.7</v>
      </c>
      <c r="H215" s="6">
        <v>86</v>
      </c>
      <c r="I215" s="9">
        <v>147</v>
      </c>
      <c r="J215" s="9">
        <f t="shared" si="25"/>
        <v>1323</v>
      </c>
      <c r="K215" s="10">
        <f t="shared" si="20"/>
        <v>661.5</v>
      </c>
      <c r="L215" s="16">
        <f t="shared" si="24"/>
        <v>0.59535000000000005</v>
      </c>
    </row>
    <row r="216" spans="1:12" x14ac:dyDescent="0.25">
      <c r="A216" s="6" t="s">
        <v>35</v>
      </c>
      <c r="B216" s="6">
        <v>10</v>
      </c>
      <c r="C216" s="6" t="str">
        <f>'[1]key drivers'!A$20</f>
        <v>P/L</v>
      </c>
      <c r="D216" s="6" t="str">
        <f>'[1]key drivers'!F$24</f>
        <v>109/M26</v>
      </c>
      <c r="E216" s="8" t="s">
        <v>36</v>
      </c>
      <c r="F216" s="6">
        <v>4.5</v>
      </c>
      <c r="G216" s="30">
        <v>1.7</v>
      </c>
      <c r="H216" s="6">
        <v>86</v>
      </c>
      <c r="I216" s="9">
        <v>147</v>
      </c>
      <c r="J216" s="9">
        <f t="shared" si="25"/>
        <v>1470</v>
      </c>
      <c r="K216" s="10">
        <f t="shared" si="20"/>
        <v>661.5</v>
      </c>
      <c r="L216" s="16">
        <f t="shared" si="24"/>
        <v>0.66150000000000009</v>
      </c>
    </row>
    <row r="217" spans="1:12" x14ac:dyDescent="0.25">
      <c r="A217" s="6" t="s">
        <v>35</v>
      </c>
      <c r="B217" s="6">
        <v>11</v>
      </c>
      <c r="C217" s="6" t="str">
        <f>'[1]key drivers'!A$20</f>
        <v>P/L</v>
      </c>
      <c r="D217" s="6" t="str">
        <f>'[1]key drivers'!F$24</f>
        <v>109/M26</v>
      </c>
      <c r="E217" s="8" t="s">
        <v>36</v>
      </c>
      <c r="F217" s="6">
        <v>4.5</v>
      </c>
      <c r="G217" s="30">
        <v>1.7</v>
      </c>
      <c r="H217" s="6">
        <v>86</v>
      </c>
      <c r="I217" s="9">
        <v>147</v>
      </c>
      <c r="J217" s="9">
        <f t="shared" si="25"/>
        <v>1617</v>
      </c>
      <c r="K217" s="10">
        <f t="shared" si="20"/>
        <v>661.5</v>
      </c>
      <c r="L217" s="16">
        <f t="shared" si="24"/>
        <v>0.72765000000000013</v>
      </c>
    </row>
    <row r="218" spans="1:12" x14ac:dyDescent="0.25">
      <c r="A218" s="6" t="s">
        <v>35</v>
      </c>
      <c r="B218" s="6">
        <v>12</v>
      </c>
      <c r="C218" s="6" t="str">
        <f>'[1]key drivers'!A$20</f>
        <v>P/L</v>
      </c>
      <c r="D218" s="6" t="str">
        <f>'[1]key drivers'!F$24</f>
        <v>109/M26</v>
      </c>
      <c r="E218" s="8" t="s">
        <v>36</v>
      </c>
      <c r="F218" s="6">
        <v>4.5</v>
      </c>
      <c r="G218" s="30">
        <v>1.7</v>
      </c>
      <c r="H218" s="6">
        <v>86</v>
      </c>
      <c r="I218" s="9">
        <v>147</v>
      </c>
      <c r="J218" s="9">
        <f t="shared" si="25"/>
        <v>1764</v>
      </c>
      <c r="K218" s="10">
        <f t="shared" si="20"/>
        <v>661.5</v>
      </c>
      <c r="L218" s="16">
        <f t="shared" si="24"/>
        <v>0.79380000000000017</v>
      </c>
    </row>
    <row r="219" spans="1:12" x14ac:dyDescent="0.25">
      <c r="A219" s="6" t="s">
        <v>35</v>
      </c>
      <c r="B219" s="6">
        <v>13</v>
      </c>
      <c r="C219" s="6" t="str">
        <f>'[1]key drivers'!A$20</f>
        <v>P/L</v>
      </c>
      <c r="D219" s="6" t="str">
        <f>'[1]key drivers'!F$24</f>
        <v>109/M26</v>
      </c>
      <c r="E219" s="8" t="s">
        <v>36</v>
      </c>
      <c r="F219" s="6">
        <v>4.5</v>
      </c>
      <c r="G219" s="30">
        <v>1.7</v>
      </c>
      <c r="H219" s="6">
        <v>87</v>
      </c>
      <c r="I219" s="9">
        <v>147</v>
      </c>
      <c r="J219" s="9">
        <f t="shared" si="25"/>
        <v>1911</v>
      </c>
      <c r="K219" s="10">
        <f t="shared" si="20"/>
        <v>661.5</v>
      </c>
      <c r="L219" s="16">
        <f t="shared" si="24"/>
        <v>0.85995000000000021</v>
      </c>
    </row>
    <row r="220" spans="1:12" x14ac:dyDescent="0.25">
      <c r="A220" s="6" t="s">
        <v>35</v>
      </c>
      <c r="B220" s="6">
        <v>14</v>
      </c>
      <c r="C220" s="6" t="str">
        <f>'[1]key drivers'!A$20</f>
        <v>P/L</v>
      </c>
      <c r="D220" s="6" t="str">
        <f>'[1]key drivers'!F$24</f>
        <v>109/M26</v>
      </c>
      <c r="E220" s="8" t="s">
        <v>36</v>
      </c>
      <c r="F220" s="6">
        <v>4.5</v>
      </c>
      <c r="G220" s="30">
        <v>1.7</v>
      </c>
      <c r="H220" s="6">
        <v>87</v>
      </c>
      <c r="I220" s="9">
        <v>147</v>
      </c>
      <c r="J220" s="9">
        <f t="shared" si="25"/>
        <v>2058</v>
      </c>
      <c r="K220" s="10">
        <f t="shared" si="20"/>
        <v>661.5</v>
      </c>
      <c r="L220" s="16">
        <f t="shared" si="24"/>
        <v>0.92610000000000026</v>
      </c>
    </row>
    <row r="221" spans="1:12" x14ac:dyDescent="0.25">
      <c r="A221" s="6" t="s">
        <v>35</v>
      </c>
      <c r="B221" s="6">
        <v>15</v>
      </c>
      <c r="C221" s="6" t="str">
        <f>'[1]key drivers'!A$20</f>
        <v>P/L</v>
      </c>
      <c r="D221" s="6" t="str">
        <f>'[1]key drivers'!F$24</f>
        <v>109/M26</v>
      </c>
      <c r="E221" s="8" t="s">
        <v>36</v>
      </c>
      <c r="F221" s="6">
        <v>4.5</v>
      </c>
      <c r="G221" s="30">
        <v>1.7</v>
      </c>
      <c r="H221" s="6">
        <v>87</v>
      </c>
      <c r="I221" s="9">
        <v>147</v>
      </c>
      <c r="J221" s="9">
        <f t="shared" si="25"/>
        <v>2205</v>
      </c>
      <c r="K221" s="10">
        <f t="shared" si="20"/>
        <v>661.5</v>
      </c>
      <c r="L221" s="16">
        <f t="shared" si="24"/>
        <v>0.9922500000000003</v>
      </c>
    </row>
    <row r="222" spans="1:12" x14ac:dyDescent="0.25">
      <c r="A222" s="6" t="s">
        <v>35</v>
      </c>
      <c r="B222" s="6">
        <v>16</v>
      </c>
      <c r="C222" s="6" t="str">
        <f>'[1]key drivers'!A$20</f>
        <v>P/L</v>
      </c>
      <c r="D222" s="6" t="str">
        <f>'[1]key drivers'!F$24</f>
        <v>109/M26</v>
      </c>
      <c r="E222" s="8" t="s">
        <v>36</v>
      </c>
      <c r="F222" s="6">
        <v>4.5</v>
      </c>
      <c r="G222" s="30">
        <v>1.7</v>
      </c>
      <c r="H222" s="6">
        <v>87</v>
      </c>
      <c r="I222" s="9">
        <v>147</v>
      </c>
      <c r="J222" s="9">
        <f t="shared" si="25"/>
        <v>2352</v>
      </c>
      <c r="K222" s="10">
        <f t="shared" si="20"/>
        <v>661.5</v>
      </c>
      <c r="L222" s="16">
        <f t="shared" si="24"/>
        <v>1.0584000000000002</v>
      </c>
    </row>
    <row r="223" spans="1:12" x14ac:dyDescent="0.25">
      <c r="A223" s="6" t="s">
        <v>35</v>
      </c>
      <c r="B223" s="6">
        <v>17</v>
      </c>
      <c r="C223" s="6" t="str">
        <f>'[1]key drivers'!A$20</f>
        <v>P/L</v>
      </c>
      <c r="D223" s="6" t="str">
        <f>'[1]key drivers'!F$24</f>
        <v>109/M26</v>
      </c>
      <c r="E223" s="8" t="s">
        <v>36</v>
      </c>
      <c r="F223" s="6">
        <v>4.5</v>
      </c>
      <c r="G223" s="30">
        <v>1.7</v>
      </c>
      <c r="H223" s="6">
        <v>87</v>
      </c>
      <c r="I223" s="9">
        <v>147</v>
      </c>
      <c r="J223" s="9">
        <f t="shared" si="25"/>
        <v>2499</v>
      </c>
      <c r="K223" s="10">
        <f t="shared" si="20"/>
        <v>661.5</v>
      </c>
      <c r="L223" s="16">
        <f t="shared" si="24"/>
        <v>1.1245500000000002</v>
      </c>
    </row>
    <row r="224" spans="1:12" x14ac:dyDescent="0.25">
      <c r="A224" s="6" t="s">
        <v>35</v>
      </c>
      <c r="B224" s="6">
        <v>18</v>
      </c>
      <c r="C224" s="6" t="str">
        <f>'[1]key drivers'!A$20</f>
        <v>P/L</v>
      </c>
      <c r="D224" s="6" t="str">
        <f>'[1]key drivers'!F$24</f>
        <v>109/M26</v>
      </c>
      <c r="E224" s="8" t="s">
        <v>36</v>
      </c>
      <c r="F224" s="6">
        <v>4.5</v>
      </c>
      <c r="G224" s="30">
        <v>1.7</v>
      </c>
      <c r="H224" s="6">
        <v>87</v>
      </c>
      <c r="I224" s="9">
        <v>147</v>
      </c>
      <c r="J224" s="9">
        <f t="shared" si="25"/>
        <v>2646</v>
      </c>
      <c r="K224" s="10">
        <f t="shared" si="20"/>
        <v>661.5</v>
      </c>
      <c r="L224" s="16">
        <f t="shared" si="24"/>
        <v>1.1907000000000001</v>
      </c>
    </row>
    <row r="225" spans="1:12" x14ac:dyDescent="0.25">
      <c r="A225" s="6" t="s">
        <v>35</v>
      </c>
      <c r="B225" s="6">
        <v>19</v>
      </c>
      <c r="C225" s="6" t="str">
        <f>'[1]key drivers'!A$20</f>
        <v>P/L</v>
      </c>
      <c r="D225" s="6" t="str">
        <f>'[1]key drivers'!F$24</f>
        <v>109/M26</v>
      </c>
      <c r="E225" s="8" t="s">
        <v>36</v>
      </c>
      <c r="F225" s="6">
        <v>4.5</v>
      </c>
      <c r="G225" s="30">
        <v>1.7</v>
      </c>
      <c r="H225" s="6">
        <v>87</v>
      </c>
      <c r="I225" s="9">
        <v>147</v>
      </c>
      <c r="J225" s="9">
        <f t="shared" si="25"/>
        <v>2793</v>
      </c>
      <c r="K225" s="10">
        <f t="shared" si="20"/>
        <v>661.5</v>
      </c>
      <c r="L225" s="16">
        <f t="shared" si="24"/>
        <v>1.25685</v>
      </c>
    </row>
    <row r="226" spans="1:12" x14ac:dyDescent="0.25">
      <c r="A226" s="6" t="s">
        <v>35</v>
      </c>
      <c r="B226" s="6">
        <v>20</v>
      </c>
      <c r="C226" s="6" t="str">
        <f>'[1]key drivers'!A$20</f>
        <v>P/L</v>
      </c>
      <c r="D226" s="6" t="str">
        <f>'[1]key drivers'!F$24</f>
        <v>109/M26</v>
      </c>
      <c r="E226" s="8" t="s">
        <v>36</v>
      </c>
      <c r="F226" s="6">
        <v>4.5</v>
      </c>
      <c r="G226" s="30">
        <v>1.7</v>
      </c>
      <c r="H226" s="6">
        <v>87</v>
      </c>
      <c r="I226" s="9">
        <v>147</v>
      </c>
      <c r="J226" s="9">
        <f t="shared" si="25"/>
        <v>2940</v>
      </c>
      <c r="K226" s="10">
        <f t="shared" si="20"/>
        <v>661.5</v>
      </c>
      <c r="L226" s="16">
        <f t="shared" si="24"/>
        <v>1.323</v>
      </c>
    </row>
    <row r="227" spans="1:12" x14ac:dyDescent="0.25">
      <c r="A227" s="6" t="s">
        <v>35</v>
      </c>
      <c r="B227" s="6">
        <v>21</v>
      </c>
      <c r="C227" s="6" t="str">
        <f>'[1]key drivers'!A$20</f>
        <v>P/L</v>
      </c>
      <c r="D227" s="6" t="str">
        <f>'[1]key drivers'!F$24</f>
        <v>109/M26</v>
      </c>
      <c r="E227" s="8" t="s">
        <v>36</v>
      </c>
      <c r="F227" s="6">
        <v>4.5</v>
      </c>
      <c r="G227" s="30">
        <v>1.7</v>
      </c>
      <c r="H227" s="6">
        <v>87</v>
      </c>
      <c r="I227" s="9">
        <v>147</v>
      </c>
      <c r="J227" s="9">
        <f t="shared" si="25"/>
        <v>3087</v>
      </c>
      <c r="K227" s="10">
        <f t="shared" si="20"/>
        <v>661.5</v>
      </c>
      <c r="L227" s="16">
        <f t="shared" si="24"/>
        <v>1.3891499999999999</v>
      </c>
    </row>
    <row r="228" spans="1:12" x14ac:dyDescent="0.25">
      <c r="A228" s="6" t="s">
        <v>35</v>
      </c>
      <c r="B228" s="6">
        <v>22</v>
      </c>
      <c r="C228" s="6" t="str">
        <f>'[1]key drivers'!A$20</f>
        <v>P/L</v>
      </c>
      <c r="D228" s="6" t="str">
        <f>'[1]key drivers'!F$24</f>
        <v>109/M26</v>
      </c>
      <c r="E228" s="8" t="s">
        <v>36</v>
      </c>
      <c r="F228" s="6">
        <v>4.5</v>
      </c>
      <c r="G228" s="30">
        <v>1.7</v>
      </c>
      <c r="H228" s="6">
        <v>87</v>
      </c>
      <c r="I228" s="9">
        <v>147</v>
      </c>
      <c r="J228" s="9">
        <f t="shared" si="25"/>
        <v>3234</v>
      </c>
      <c r="K228" s="10">
        <f t="shared" si="20"/>
        <v>661.5</v>
      </c>
      <c r="L228" s="16">
        <f t="shared" si="24"/>
        <v>1.4552999999999998</v>
      </c>
    </row>
    <row r="229" spans="1:12" x14ac:dyDescent="0.25">
      <c r="A229" s="6" t="s">
        <v>35</v>
      </c>
      <c r="B229" s="6">
        <v>23</v>
      </c>
      <c r="C229" s="6" t="str">
        <f>'[1]key drivers'!A$20</f>
        <v>P/L</v>
      </c>
      <c r="D229" s="6" t="str">
        <f>'[1]key drivers'!F$24</f>
        <v>109/M26</v>
      </c>
      <c r="E229" s="8" t="s">
        <v>36</v>
      </c>
      <c r="F229" s="6">
        <v>4.5</v>
      </c>
      <c r="G229" s="30">
        <v>1.7</v>
      </c>
      <c r="H229" s="6">
        <v>87</v>
      </c>
      <c r="I229" s="9">
        <v>147</v>
      </c>
      <c r="J229" s="9">
        <f t="shared" si="25"/>
        <v>3381</v>
      </c>
      <c r="K229" s="10">
        <f t="shared" si="20"/>
        <v>661.5</v>
      </c>
      <c r="L229" s="16">
        <f t="shared" si="24"/>
        <v>1.5214499999999997</v>
      </c>
    </row>
    <row r="230" spans="1:12" x14ac:dyDescent="0.25">
      <c r="A230" s="6" t="s">
        <v>35</v>
      </c>
      <c r="B230" s="6">
        <v>24</v>
      </c>
      <c r="C230" s="6" t="str">
        <f>'[1]key drivers'!A$20</f>
        <v>P/L</v>
      </c>
      <c r="D230" s="6" t="str">
        <f>'[1]key drivers'!F$24</f>
        <v>109/M26</v>
      </c>
      <c r="E230" s="8" t="s">
        <v>36</v>
      </c>
      <c r="F230" s="6">
        <v>4.5</v>
      </c>
      <c r="G230" s="30">
        <v>1.7</v>
      </c>
      <c r="H230" s="6">
        <v>87</v>
      </c>
      <c r="I230" s="9">
        <v>147</v>
      </c>
      <c r="J230" s="9">
        <f t="shared" si="25"/>
        <v>3528</v>
      </c>
      <c r="K230" s="10">
        <f t="shared" si="20"/>
        <v>661.5</v>
      </c>
      <c r="L230" s="16">
        <f t="shared" si="24"/>
        <v>1.5875999999999997</v>
      </c>
    </row>
    <row r="231" spans="1:12" x14ac:dyDescent="0.25">
      <c r="A231" s="6" t="s">
        <v>35</v>
      </c>
      <c r="B231" s="6">
        <v>25</v>
      </c>
      <c r="C231" s="6" t="str">
        <f>'[1]key drivers'!A$20</f>
        <v>P/L</v>
      </c>
      <c r="D231" s="6" t="str">
        <f>'[1]key drivers'!F$24</f>
        <v>109/M26</v>
      </c>
      <c r="E231" s="8" t="s">
        <v>36</v>
      </c>
      <c r="F231" s="6">
        <v>4.5</v>
      </c>
      <c r="G231" s="30">
        <v>1.7</v>
      </c>
      <c r="H231" s="6">
        <v>87</v>
      </c>
      <c r="I231" s="9">
        <v>147</v>
      </c>
      <c r="J231" s="9">
        <f t="shared" si="25"/>
        <v>3675</v>
      </c>
      <c r="K231" s="10">
        <f t="shared" si="20"/>
        <v>661.5</v>
      </c>
      <c r="L231" s="16">
        <f t="shared" si="24"/>
        <v>1.6537499999999996</v>
      </c>
    </row>
    <row r="232" spans="1:12" x14ac:dyDescent="0.25">
      <c r="A232" s="6" t="s">
        <v>35</v>
      </c>
      <c r="B232" s="6">
        <v>26</v>
      </c>
      <c r="C232" s="6" t="str">
        <f>'[1]key drivers'!A$20</f>
        <v>P/L</v>
      </c>
      <c r="D232" s="6" t="str">
        <f>'[1]key drivers'!F$24</f>
        <v>109/M26</v>
      </c>
      <c r="E232" s="8" t="s">
        <v>36</v>
      </c>
      <c r="F232" s="6">
        <v>4.5</v>
      </c>
      <c r="G232" s="30">
        <v>1.7</v>
      </c>
      <c r="H232" s="6">
        <v>87</v>
      </c>
      <c r="I232" s="9">
        <v>147</v>
      </c>
      <c r="J232" s="9">
        <f t="shared" si="25"/>
        <v>3822</v>
      </c>
      <c r="K232" s="10">
        <f t="shared" si="20"/>
        <v>661.5</v>
      </c>
      <c r="L232" s="16">
        <f t="shared" si="24"/>
        <v>1.7198999999999995</v>
      </c>
    </row>
    <row r="233" spans="1:12" x14ac:dyDescent="0.25">
      <c r="A233" s="6" t="s">
        <v>35</v>
      </c>
      <c r="B233" s="6">
        <v>27</v>
      </c>
      <c r="C233" s="6" t="str">
        <f>'[1]key drivers'!A$20</f>
        <v>P/L</v>
      </c>
      <c r="D233" s="6" t="str">
        <f>'[1]key drivers'!F$24</f>
        <v>109/M26</v>
      </c>
      <c r="E233" s="8" t="s">
        <v>36</v>
      </c>
      <c r="F233" s="6">
        <v>4.5</v>
      </c>
      <c r="G233" s="30">
        <v>1.7</v>
      </c>
      <c r="H233" s="6">
        <v>87</v>
      </c>
      <c r="I233" s="9">
        <v>147</v>
      </c>
      <c r="J233" s="9">
        <f t="shared" si="25"/>
        <v>3969</v>
      </c>
      <c r="K233" s="10">
        <f t="shared" si="20"/>
        <v>661.5</v>
      </c>
      <c r="L233" s="16">
        <f t="shared" si="24"/>
        <v>1.7860499999999995</v>
      </c>
    </row>
    <row r="234" spans="1:12" x14ac:dyDescent="0.25">
      <c r="A234" s="6" t="s">
        <v>35</v>
      </c>
      <c r="B234" s="6">
        <v>28</v>
      </c>
      <c r="C234" s="6" t="str">
        <f>'[1]key drivers'!A$20</f>
        <v>P/L</v>
      </c>
      <c r="D234" s="6" t="str">
        <f>'[1]key drivers'!F$24</f>
        <v>109/M26</v>
      </c>
      <c r="E234" s="8" t="s">
        <v>36</v>
      </c>
      <c r="F234" s="6">
        <v>4.5</v>
      </c>
      <c r="G234" s="30">
        <v>1.7</v>
      </c>
      <c r="H234" s="6">
        <v>87</v>
      </c>
      <c r="I234" s="9">
        <v>147</v>
      </c>
      <c r="J234" s="9">
        <f t="shared" si="25"/>
        <v>4116</v>
      </c>
      <c r="K234" s="10">
        <f t="shared" si="20"/>
        <v>661.5</v>
      </c>
      <c r="L234" s="16">
        <f t="shared" si="24"/>
        <v>1.8521999999999994</v>
      </c>
    </row>
    <row r="235" spans="1:12" x14ac:dyDescent="0.25">
      <c r="A235" s="6" t="s">
        <v>35</v>
      </c>
      <c r="B235" s="6">
        <v>29</v>
      </c>
      <c r="C235" s="6" t="str">
        <f>'[1]key drivers'!A$20</f>
        <v>P/L</v>
      </c>
      <c r="D235" s="6" t="str">
        <f>'[1]key drivers'!F$24</f>
        <v>109/M26</v>
      </c>
      <c r="E235" s="8" t="s">
        <v>36</v>
      </c>
      <c r="F235" s="6">
        <v>4.5</v>
      </c>
      <c r="G235" s="30">
        <v>1.7</v>
      </c>
      <c r="H235" s="6">
        <v>87</v>
      </c>
      <c r="I235" s="9">
        <v>147</v>
      </c>
      <c r="J235" s="9">
        <f t="shared" si="25"/>
        <v>4263</v>
      </c>
      <c r="K235" s="10">
        <f t="shared" si="20"/>
        <v>661.5</v>
      </c>
      <c r="L235" s="16">
        <f t="shared" si="24"/>
        <v>1.9183499999999993</v>
      </c>
    </row>
    <row r="236" spans="1:12" x14ac:dyDescent="0.25">
      <c r="A236" s="6" t="s">
        <v>35</v>
      </c>
      <c r="B236" s="6">
        <v>30</v>
      </c>
      <c r="C236" s="6" t="str">
        <f>'[1]key drivers'!A$20</f>
        <v>P/L</v>
      </c>
      <c r="D236" s="6" t="str">
        <f>'[1]key drivers'!F$24</f>
        <v>109/M26</v>
      </c>
      <c r="E236" s="8" t="s">
        <v>36</v>
      </c>
      <c r="F236" s="6">
        <v>4.5</v>
      </c>
      <c r="G236" s="30">
        <v>1.7</v>
      </c>
      <c r="H236" s="6">
        <v>87</v>
      </c>
      <c r="I236" s="9">
        <v>147</v>
      </c>
      <c r="J236" s="9">
        <f t="shared" si="25"/>
        <v>4410</v>
      </c>
      <c r="K236" s="10">
        <f t="shared" si="20"/>
        <v>661.5</v>
      </c>
      <c r="L236" s="16">
        <f t="shared" si="24"/>
        <v>1.9844999999999993</v>
      </c>
    </row>
    <row r="237" spans="1:12" x14ac:dyDescent="0.25">
      <c r="A237" s="6" t="s">
        <v>35</v>
      </c>
      <c r="B237" s="6">
        <v>31</v>
      </c>
      <c r="C237" s="6" t="str">
        <f>'[1]key drivers'!A$20</f>
        <v>P/L</v>
      </c>
      <c r="D237" s="6" t="str">
        <f>'[1]key drivers'!F$24</f>
        <v>109/M26</v>
      </c>
      <c r="E237" s="8" t="s">
        <v>36</v>
      </c>
      <c r="F237" s="6">
        <v>4.5</v>
      </c>
      <c r="G237" s="30">
        <v>1.7</v>
      </c>
      <c r="H237" s="6">
        <v>87</v>
      </c>
      <c r="I237" s="9">
        <v>147</v>
      </c>
      <c r="J237" s="9">
        <f t="shared" si="25"/>
        <v>4557</v>
      </c>
      <c r="K237" s="10">
        <f t="shared" si="20"/>
        <v>661.5</v>
      </c>
      <c r="L237" s="16">
        <f t="shared" si="24"/>
        <v>2.0506499999999992</v>
      </c>
    </row>
    <row r="238" spans="1:12" x14ac:dyDescent="0.25">
      <c r="A238" s="6" t="s">
        <v>35</v>
      </c>
      <c r="B238" s="6">
        <v>32</v>
      </c>
      <c r="C238" s="6" t="str">
        <f>'[1]key drivers'!A$20</f>
        <v>P/L</v>
      </c>
      <c r="D238" s="6" t="str">
        <f>'[1]key drivers'!F$24</f>
        <v>109/M26</v>
      </c>
      <c r="E238" s="8" t="s">
        <v>36</v>
      </c>
      <c r="F238" s="6">
        <v>4.5</v>
      </c>
      <c r="G238" s="30">
        <v>1.7</v>
      </c>
      <c r="H238" s="6">
        <v>83</v>
      </c>
      <c r="I238" s="9">
        <v>142.69999999999999</v>
      </c>
      <c r="J238" s="9">
        <f t="shared" si="25"/>
        <v>4699.7</v>
      </c>
      <c r="K238" s="10">
        <f t="shared" si="20"/>
        <v>642.15</v>
      </c>
      <c r="L238" s="16">
        <f t="shared" si="24"/>
        <v>2.1148649999999991</v>
      </c>
    </row>
    <row r="239" spans="1:12" x14ac:dyDescent="0.25">
      <c r="A239" s="6" t="s">
        <v>35</v>
      </c>
      <c r="B239" s="6">
        <v>33</v>
      </c>
      <c r="C239" s="6" t="str">
        <f>'[1]key drivers'!A$20</f>
        <v>P/L</v>
      </c>
      <c r="D239" s="6" t="str">
        <f>'[1]key drivers'!F$24</f>
        <v>109/M26</v>
      </c>
      <c r="E239" s="8" t="s">
        <v>36</v>
      </c>
      <c r="F239" s="6">
        <v>4.5</v>
      </c>
      <c r="G239" s="30">
        <v>1.7</v>
      </c>
      <c r="H239" s="6">
        <v>69</v>
      </c>
      <c r="I239" s="9">
        <v>129.19999999999999</v>
      </c>
      <c r="J239" s="9">
        <f t="shared" si="25"/>
        <v>4828.8999999999996</v>
      </c>
      <c r="K239" s="10">
        <f t="shared" si="20"/>
        <v>581.4</v>
      </c>
      <c r="L239" s="16">
        <f t="shared" si="24"/>
        <v>2.173004999999999</v>
      </c>
    </row>
    <row r="240" spans="1:12" x14ac:dyDescent="0.25">
      <c r="A240" s="6" t="s">
        <v>35</v>
      </c>
      <c r="B240" s="6">
        <v>34</v>
      </c>
      <c r="C240" s="6" t="str">
        <f>'[1]key drivers'!A$20</f>
        <v>P/L</v>
      </c>
      <c r="D240" s="6" t="str">
        <f>'[1]key drivers'!F$24</f>
        <v>109/M26</v>
      </c>
      <c r="E240" s="8" t="s">
        <v>36</v>
      </c>
      <c r="F240" s="6">
        <v>4.5</v>
      </c>
      <c r="G240" s="30">
        <v>1.7</v>
      </c>
      <c r="H240" s="6">
        <v>51</v>
      </c>
      <c r="I240" s="9">
        <v>109.2</v>
      </c>
      <c r="J240" s="9">
        <f t="shared" si="25"/>
        <v>4938.0999999999995</v>
      </c>
      <c r="K240" s="10">
        <f t="shared" si="20"/>
        <v>491.40000000000003</v>
      </c>
      <c r="L240" s="16">
        <f t="shared" si="24"/>
        <v>2.2221449999999989</v>
      </c>
    </row>
    <row r="241" spans="1:12" x14ac:dyDescent="0.25">
      <c r="A241" s="6" t="s">
        <v>35</v>
      </c>
      <c r="B241" s="6">
        <v>35</v>
      </c>
      <c r="C241" s="6" t="str">
        <f>'[1]key drivers'!A$20</f>
        <v>P/L</v>
      </c>
      <c r="D241" s="6" t="str">
        <f>'[1]key drivers'!F$24</f>
        <v>109/M26</v>
      </c>
      <c r="E241" s="8" t="s">
        <v>36</v>
      </c>
      <c r="F241" s="6">
        <v>4.5</v>
      </c>
      <c r="G241" s="30">
        <v>1.7</v>
      </c>
      <c r="H241" s="6">
        <v>41</v>
      </c>
      <c r="I241" s="9">
        <v>84</v>
      </c>
      <c r="J241" s="9">
        <f t="shared" si="25"/>
        <v>5022.0999999999995</v>
      </c>
      <c r="K241" s="10">
        <f t="shared" si="20"/>
        <v>378</v>
      </c>
      <c r="L241" s="16">
        <f t="shared" si="24"/>
        <v>2.2599449999999988</v>
      </c>
    </row>
    <row r="242" spans="1:12" x14ac:dyDescent="0.25">
      <c r="A242" s="6" t="s">
        <v>35</v>
      </c>
      <c r="B242" s="6">
        <v>36</v>
      </c>
      <c r="C242" s="6" t="str">
        <f>'[1]key drivers'!A$20</f>
        <v>P/L</v>
      </c>
      <c r="D242" s="6" t="str">
        <f>'[1]key drivers'!F$24</f>
        <v>109/M26</v>
      </c>
      <c r="E242" s="8" t="s">
        <v>36</v>
      </c>
      <c r="F242" s="6">
        <v>4.5</v>
      </c>
      <c r="G242" s="30">
        <v>1.7</v>
      </c>
      <c r="H242" s="6">
        <v>29</v>
      </c>
      <c r="I242" s="9">
        <v>49.3</v>
      </c>
      <c r="J242" s="9">
        <f>I242+J241</f>
        <v>5071.3999999999996</v>
      </c>
      <c r="K242" s="10">
        <f>F242*I242</f>
        <v>221.85</v>
      </c>
      <c r="L242" s="16">
        <f>K242/10000+L241</f>
        <v>2.2821299999999987</v>
      </c>
    </row>
    <row r="243" spans="1:12" x14ac:dyDescent="0.25">
      <c r="A243" s="6" t="s">
        <v>35</v>
      </c>
      <c r="B243" s="6">
        <v>37</v>
      </c>
      <c r="C243" s="6" t="str">
        <f>'[1]key drivers'!A$20</f>
        <v>P/L</v>
      </c>
      <c r="D243" s="6" t="str">
        <f>'[1]key drivers'!F$24</f>
        <v>109/M26</v>
      </c>
      <c r="E243" s="8" t="s">
        <v>36</v>
      </c>
      <c r="F243" s="6">
        <v>4.5</v>
      </c>
      <c r="G243" s="30">
        <v>1.7</v>
      </c>
      <c r="H243" s="6">
        <v>16</v>
      </c>
      <c r="I243" s="9">
        <v>27</v>
      </c>
      <c r="J243" s="9">
        <f>I243+J242</f>
        <v>5098.3999999999996</v>
      </c>
      <c r="K243" s="10">
        <f>F243*I243</f>
        <v>121.5</v>
      </c>
      <c r="L243" s="16">
        <f>K243/10000+L242</f>
        <v>2.2942799999999988</v>
      </c>
    </row>
    <row r="244" spans="1:12" x14ac:dyDescent="0.25">
      <c r="A244" s="31"/>
      <c r="B244" s="17"/>
      <c r="G244" s="17"/>
      <c r="I244" s="32"/>
      <c r="J244" s="32"/>
      <c r="K244" s="33"/>
    </row>
    <row r="245" spans="1:12" x14ac:dyDescent="0.25">
      <c r="B245" s="17"/>
      <c r="G245" s="17"/>
      <c r="I245" s="32"/>
      <c r="J245" s="32"/>
      <c r="K245" s="33"/>
    </row>
    <row r="246" spans="1:12" x14ac:dyDescent="0.25">
      <c r="A246" s="6" t="s">
        <v>37</v>
      </c>
      <c r="B246" s="6">
        <v>1</v>
      </c>
      <c r="C246" s="6" t="str">
        <f>'[1]key drivers'!A$20</f>
        <v>P/L</v>
      </c>
      <c r="D246" s="34" t="str">
        <f>'[1]key drivers'!F$25</f>
        <v>109/spur P/L</v>
      </c>
      <c r="E246" s="8" t="s">
        <v>38</v>
      </c>
      <c r="F246" s="6">
        <v>3.7</v>
      </c>
      <c r="G246" s="6">
        <v>1.7</v>
      </c>
      <c r="H246" s="7">
        <v>123</v>
      </c>
      <c r="I246" s="9">
        <v>145</v>
      </c>
      <c r="J246" s="9">
        <f>I246</f>
        <v>145</v>
      </c>
      <c r="K246" s="10">
        <f t="shared" ref="K246:K253" si="26">F246*I246</f>
        <v>536.5</v>
      </c>
      <c r="L246" s="11">
        <f>K246/10000</f>
        <v>5.3650000000000003E-2</v>
      </c>
    </row>
    <row r="247" spans="1:12" x14ac:dyDescent="0.25">
      <c r="A247" s="6" t="s">
        <v>37</v>
      </c>
      <c r="B247" s="6">
        <v>2</v>
      </c>
      <c r="C247" s="6" t="str">
        <f>'[1]key drivers'!A$20</f>
        <v>P/L</v>
      </c>
      <c r="D247" s="34" t="str">
        <f>'[1]key drivers'!F$25</f>
        <v>109/spur P/L</v>
      </c>
      <c r="E247" s="8" t="s">
        <v>38</v>
      </c>
      <c r="F247" s="6">
        <v>3.7</v>
      </c>
      <c r="G247" s="6">
        <v>1.7</v>
      </c>
      <c r="H247" s="7">
        <v>135</v>
      </c>
      <c r="I247" s="9">
        <v>147</v>
      </c>
      <c r="J247" s="9">
        <f t="shared" ref="J247:J253" si="27">I247+J246</f>
        <v>292</v>
      </c>
      <c r="K247" s="10">
        <f t="shared" si="26"/>
        <v>543.9</v>
      </c>
      <c r="L247" s="11">
        <f t="shared" ref="L247:L253" si="28">K247/10000+L246</f>
        <v>0.10804</v>
      </c>
    </row>
    <row r="248" spans="1:12" x14ac:dyDescent="0.25">
      <c r="A248" s="6" t="s">
        <v>37</v>
      </c>
      <c r="B248" s="6">
        <v>3</v>
      </c>
      <c r="C248" s="6" t="str">
        <f>'[1]key drivers'!A$20</f>
        <v>P/L</v>
      </c>
      <c r="D248" s="34" t="str">
        <f>'[1]key drivers'!F$25</f>
        <v>109/spur P/L</v>
      </c>
      <c r="E248" s="8" t="s">
        <v>38</v>
      </c>
      <c r="F248" s="6">
        <v>3.7</v>
      </c>
      <c r="G248" s="6">
        <v>1.7</v>
      </c>
      <c r="H248" s="7">
        <v>146</v>
      </c>
      <c r="I248" s="9">
        <v>152</v>
      </c>
      <c r="J248" s="9">
        <f t="shared" si="27"/>
        <v>444</v>
      </c>
      <c r="K248" s="10">
        <f t="shared" si="26"/>
        <v>562.4</v>
      </c>
      <c r="L248" s="11">
        <f t="shared" si="28"/>
        <v>0.16427999999999998</v>
      </c>
    </row>
    <row r="249" spans="1:12" x14ac:dyDescent="0.25">
      <c r="A249" s="6" t="s">
        <v>37</v>
      </c>
      <c r="B249" s="6">
        <v>4</v>
      </c>
      <c r="C249" s="6" t="str">
        <f>'[1]key drivers'!A$20</f>
        <v>P/L</v>
      </c>
      <c r="D249" s="34" t="str">
        <f>'[1]key drivers'!F$25</f>
        <v>109/spur P/L</v>
      </c>
      <c r="E249" s="8" t="s">
        <v>38</v>
      </c>
      <c r="F249" s="6">
        <v>3.7</v>
      </c>
      <c r="G249" s="6">
        <v>1.7</v>
      </c>
      <c r="H249" s="7">
        <v>146</v>
      </c>
      <c r="I249" s="9">
        <v>158</v>
      </c>
      <c r="J249" s="9">
        <f t="shared" si="27"/>
        <v>602</v>
      </c>
      <c r="K249" s="10">
        <f t="shared" si="26"/>
        <v>584.6</v>
      </c>
      <c r="L249" s="11">
        <f t="shared" si="28"/>
        <v>0.22273999999999999</v>
      </c>
    </row>
    <row r="250" spans="1:12" x14ac:dyDescent="0.25">
      <c r="A250" s="6" t="s">
        <v>37</v>
      </c>
      <c r="B250" s="6">
        <v>5</v>
      </c>
      <c r="C250" s="6" t="str">
        <f>'[1]key drivers'!A$20</f>
        <v>P/L</v>
      </c>
      <c r="D250" s="34" t="str">
        <f>'[1]key drivers'!F$25</f>
        <v>109/spur P/L</v>
      </c>
      <c r="E250" s="8" t="s">
        <v>38</v>
      </c>
      <c r="F250" s="6">
        <v>3.7</v>
      </c>
      <c r="G250" s="6">
        <v>1.7</v>
      </c>
      <c r="H250" s="7">
        <v>147</v>
      </c>
      <c r="I250" s="9">
        <v>160</v>
      </c>
      <c r="J250" s="9">
        <f t="shared" si="27"/>
        <v>762</v>
      </c>
      <c r="K250" s="10">
        <f t="shared" si="26"/>
        <v>592</v>
      </c>
      <c r="L250" s="11">
        <f t="shared" si="28"/>
        <v>0.28193999999999997</v>
      </c>
    </row>
    <row r="251" spans="1:12" x14ac:dyDescent="0.25">
      <c r="A251" s="6" t="s">
        <v>37</v>
      </c>
      <c r="B251" s="6">
        <v>6</v>
      </c>
      <c r="C251" s="6" t="str">
        <f>'[1]key drivers'!A$20</f>
        <v>P/L</v>
      </c>
      <c r="D251" s="34" t="str">
        <f>'[1]key drivers'!F$25</f>
        <v>109/spur P/L</v>
      </c>
      <c r="E251" s="8" t="s">
        <v>38</v>
      </c>
      <c r="F251" s="6">
        <v>3.7</v>
      </c>
      <c r="G251" s="6">
        <v>1.7</v>
      </c>
      <c r="H251" s="7">
        <v>149</v>
      </c>
      <c r="I251" s="9">
        <v>163</v>
      </c>
      <c r="J251" s="9">
        <f t="shared" si="27"/>
        <v>925</v>
      </c>
      <c r="K251" s="10">
        <f t="shared" si="26"/>
        <v>603.1</v>
      </c>
      <c r="L251" s="11">
        <f t="shared" si="28"/>
        <v>0.34224999999999994</v>
      </c>
    </row>
    <row r="252" spans="1:12" x14ac:dyDescent="0.25">
      <c r="A252" s="6" t="s">
        <v>37</v>
      </c>
      <c r="B252" s="6">
        <v>7</v>
      </c>
      <c r="C252" s="6" t="str">
        <f>'[1]key drivers'!A$20</f>
        <v>P/L</v>
      </c>
      <c r="D252" s="34" t="str">
        <f>'[1]key drivers'!F$25</f>
        <v>109/spur P/L</v>
      </c>
      <c r="E252" s="8" t="s">
        <v>38</v>
      </c>
      <c r="F252" s="6">
        <v>3.7</v>
      </c>
      <c r="G252" s="6">
        <v>1.7</v>
      </c>
      <c r="H252" s="7">
        <v>152</v>
      </c>
      <c r="I252" s="9">
        <v>165</v>
      </c>
      <c r="J252" s="9">
        <f t="shared" si="27"/>
        <v>1090</v>
      </c>
      <c r="K252" s="10">
        <f t="shared" si="26"/>
        <v>610.5</v>
      </c>
      <c r="L252" s="11">
        <f t="shared" si="28"/>
        <v>0.40329999999999994</v>
      </c>
    </row>
    <row r="253" spans="1:12" x14ac:dyDescent="0.25">
      <c r="A253" s="6" t="s">
        <v>37</v>
      </c>
      <c r="B253" s="6">
        <v>8</v>
      </c>
      <c r="C253" s="6" t="str">
        <f>'[1]key drivers'!A$20</f>
        <v>P/L</v>
      </c>
      <c r="D253" s="34" t="str">
        <f>'[1]key drivers'!F$25</f>
        <v>109/spur P/L</v>
      </c>
      <c r="E253" s="8" t="s">
        <v>38</v>
      </c>
      <c r="F253" s="6">
        <v>3.7</v>
      </c>
      <c r="G253" s="6">
        <v>1.7</v>
      </c>
      <c r="H253" s="7">
        <v>149</v>
      </c>
      <c r="I253" s="9">
        <v>164</v>
      </c>
      <c r="J253" s="9">
        <f t="shared" si="27"/>
        <v>1254</v>
      </c>
      <c r="K253" s="10">
        <f t="shared" si="26"/>
        <v>606.80000000000007</v>
      </c>
      <c r="L253" s="11">
        <f t="shared" si="28"/>
        <v>0.46397999999999995</v>
      </c>
    </row>
    <row r="254" spans="1:12" x14ac:dyDescent="0.25">
      <c r="A254" s="17"/>
      <c r="B254" s="17"/>
      <c r="C254" s="17"/>
      <c r="D254" s="35"/>
      <c r="E254" s="36"/>
      <c r="F254" s="17"/>
      <c r="G254" s="17"/>
      <c r="H254" s="37"/>
      <c r="I254" s="38"/>
      <c r="J254" s="38"/>
      <c r="K254" s="39"/>
      <c r="L254" s="40"/>
    </row>
    <row r="255" spans="1:12" x14ac:dyDescent="0.25">
      <c r="A255" s="17"/>
      <c r="B255" s="17"/>
      <c r="C255" s="17"/>
      <c r="D255" s="35"/>
      <c r="E255" s="36"/>
      <c r="F255" s="17"/>
      <c r="G255" s="17"/>
      <c r="H255" s="37"/>
      <c r="I255" s="38"/>
      <c r="J255" s="38"/>
      <c r="K255" s="39"/>
      <c r="L255" s="40"/>
    </row>
    <row r="256" spans="1:12" x14ac:dyDescent="0.25">
      <c r="A256" s="41" t="s">
        <v>39</v>
      </c>
      <c r="B256" s="6">
        <v>1</v>
      </c>
      <c r="C256" s="6" t="str">
        <f>'[1]key drivers'!$A$26</f>
        <v>Bravo</v>
      </c>
      <c r="D256" s="5" t="s">
        <v>40</v>
      </c>
      <c r="E256" s="42">
        <v>2014</v>
      </c>
      <c r="F256" s="6">
        <v>3.5</v>
      </c>
      <c r="G256" s="6">
        <v>1</v>
      </c>
      <c r="H256" s="7">
        <v>19</v>
      </c>
      <c r="I256" s="43">
        <v>19</v>
      </c>
      <c r="J256" s="9">
        <v>19</v>
      </c>
      <c r="K256" s="44">
        <f t="shared" ref="K256:K293" si="29">F256*I256</f>
        <v>66.5</v>
      </c>
      <c r="L256" s="45">
        <f>K256/10000</f>
        <v>6.6499999999999997E-3</v>
      </c>
    </row>
    <row r="257" spans="1:12" x14ac:dyDescent="0.25">
      <c r="A257" s="41" t="s">
        <v>39</v>
      </c>
      <c r="B257" s="6">
        <v>2</v>
      </c>
      <c r="C257" s="6" t="str">
        <f>'[1]key drivers'!$A$26</f>
        <v>Bravo</v>
      </c>
      <c r="D257" s="5" t="s">
        <v>40</v>
      </c>
      <c r="E257" s="42">
        <v>2014</v>
      </c>
      <c r="F257" s="6">
        <v>3.5</v>
      </c>
      <c r="G257" s="6">
        <v>1</v>
      </c>
      <c r="H257" s="7">
        <v>32</v>
      </c>
      <c r="I257" s="43">
        <v>32</v>
      </c>
      <c r="J257" s="9">
        <f t="shared" ref="J257:J293" si="30">I257+J256</f>
        <v>51</v>
      </c>
      <c r="K257" s="44">
        <f t="shared" si="29"/>
        <v>112</v>
      </c>
      <c r="L257" s="45">
        <f>(K257/10000)+L256</f>
        <v>1.7849999999999998E-2</v>
      </c>
    </row>
    <row r="258" spans="1:12" x14ac:dyDescent="0.25">
      <c r="A258" s="41" t="s">
        <v>39</v>
      </c>
      <c r="B258" s="6">
        <v>3</v>
      </c>
      <c r="C258" s="6" t="str">
        <f>'[1]key drivers'!$A$26</f>
        <v>Bravo</v>
      </c>
      <c r="D258" s="5" t="s">
        <v>40</v>
      </c>
      <c r="E258" s="42">
        <v>2014</v>
      </c>
      <c r="F258" s="6">
        <v>3.5</v>
      </c>
      <c r="G258" s="6">
        <v>1</v>
      </c>
      <c r="H258" s="7">
        <v>48</v>
      </c>
      <c r="I258" s="43">
        <v>48</v>
      </c>
      <c r="J258" s="9">
        <f t="shared" si="30"/>
        <v>99</v>
      </c>
      <c r="K258" s="44">
        <f t="shared" si="29"/>
        <v>168</v>
      </c>
      <c r="L258" s="45">
        <f t="shared" ref="L258:L293" si="31">(K258/10000)+L257</f>
        <v>3.465E-2</v>
      </c>
    </row>
    <row r="259" spans="1:12" x14ac:dyDescent="0.25">
      <c r="A259" s="41" t="s">
        <v>39</v>
      </c>
      <c r="B259" s="6">
        <v>4</v>
      </c>
      <c r="C259" s="6" t="str">
        <f>'[1]key drivers'!$A$26</f>
        <v>Bravo</v>
      </c>
      <c r="D259" s="5" t="s">
        <v>40</v>
      </c>
      <c r="E259" s="42">
        <v>2014</v>
      </c>
      <c r="F259" s="6">
        <v>3.5</v>
      </c>
      <c r="G259" s="6">
        <v>1</v>
      </c>
      <c r="H259" s="7">
        <v>67</v>
      </c>
      <c r="I259" s="43">
        <v>67</v>
      </c>
      <c r="J259" s="9">
        <f t="shared" si="30"/>
        <v>166</v>
      </c>
      <c r="K259" s="44">
        <f t="shared" si="29"/>
        <v>234.5</v>
      </c>
      <c r="L259" s="16">
        <f t="shared" si="31"/>
        <v>5.8099999999999999E-2</v>
      </c>
    </row>
    <row r="260" spans="1:12" x14ac:dyDescent="0.25">
      <c r="A260" s="41" t="s">
        <v>39</v>
      </c>
      <c r="B260" s="6">
        <v>5</v>
      </c>
      <c r="C260" s="6" t="str">
        <f>'[1]key drivers'!$A$26</f>
        <v>Bravo</v>
      </c>
      <c r="D260" s="5" t="s">
        <v>40</v>
      </c>
      <c r="E260" s="42">
        <v>2014</v>
      </c>
      <c r="F260" s="6">
        <v>3.5</v>
      </c>
      <c r="G260" s="6">
        <v>1</v>
      </c>
      <c r="H260" s="7">
        <v>81</v>
      </c>
      <c r="I260" s="43">
        <v>81</v>
      </c>
      <c r="J260" s="9">
        <f t="shared" si="30"/>
        <v>247</v>
      </c>
      <c r="K260" s="44">
        <f t="shared" si="29"/>
        <v>283.5</v>
      </c>
      <c r="L260" s="16">
        <f t="shared" si="31"/>
        <v>8.6449999999999999E-2</v>
      </c>
    </row>
    <row r="261" spans="1:12" x14ac:dyDescent="0.25">
      <c r="A261" s="41" t="s">
        <v>39</v>
      </c>
      <c r="B261" s="6">
        <v>6</v>
      </c>
      <c r="C261" s="6" t="str">
        <f>'[1]key drivers'!$A$26</f>
        <v>Bravo</v>
      </c>
      <c r="D261" s="5" t="s">
        <v>40</v>
      </c>
      <c r="E261" s="42">
        <v>2014</v>
      </c>
      <c r="F261" s="6">
        <v>3.5</v>
      </c>
      <c r="G261" s="6">
        <v>1</v>
      </c>
      <c r="H261" s="7">
        <v>73</v>
      </c>
      <c r="I261" s="43">
        <v>73</v>
      </c>
      <c r="J261" s="9">
        <f t="shared" si="30"/>
        <v>320</v>
      </c>
      <c r="K261" s="44">
        <f t="shared" si="29"/>
        <v>255.5</v>
      </c>
      <c r="L261" s="16">
        <f t="shared" si="31"/>
        <v>0.112</v>
      </c>
    </row>
    <row r="262" spans="1:12" x14ac:dyDescent="0.25">
      <c r="A262" s="41" t="s">
        <v>39</v>
      </c>
      <c r="B262" s="6">
        <v>7</v>
      </c>
      <c r="C262" s="6" t="str">
        <f>'[1]key drivers'!$A$26</f>
        <v>Bravo</v>
      </c>
      <c r="D262" s="5" t="s">
        <v>40</v>
      </c>
      <c r="E262" s="42">
        <v>2014</v>
      </c>
      <c r="F262" s="6">
        <v>3.5</v>
      </c>
      <c r="G262" s="6">
        <v>1</v>
      </c>
      <c r="H262" s="7">
        <v>88</v>
      </c>
      <c r="I262" s="43">
        <v>88</v>
      </c>
      <c r="J262" s="9">
        <f t="shared" si="30"/>
        <v>408</v>
      </c>
      <c r="K262" s="44">
        <f t="shared" si="29"/>
        <v>308</v>
      </c>
      <c r="L262" s="16">
        <f t="shared" si="31"/>
        <v>0.14280000000000001</v>
      </c>
    </row>
    <row r="263" spans="1:12" x14ac:dyDescent="0.25">
      <c r="A263" s="41" t="s">
        <v>39</v>
      </c>
      <c r="B263" s="6">
        <v>8</v>
      </c>
      <c r="C263" s="6" t="str">
        <f>'[1]key drivers'!$A$26</f>
        <v>Bravo</v>
      </c>
      <c r="D263" s="5" t="s">
        <v>40</v>
      </c>
      <c r="E263" s="42">
        <v>2014</v>
      </c>
      <c r="F263" s="6">
        <v>3.5</v>
      </c>
      <c r="G263" s="6">
        <v>1</v>
      </c>
      <c r="H263" s="7">
        <v>103</v>
      </c>
      <c r="I263" s="43">
        <v>103</v>
      </c>
      <c r="J263" s="9">
        <f t="shared" si="30"/>
        <v>511</v>
      </c>
      <c r="K263" s="44">
        <f t="shared" si="29"/>
        <v>360.5</v>
      </c>
      <c r="L263" s="16">
        <f t="shared" si="31"/>
        <v>0.17885000000000001</v>
      </c>
    </row>
    <row r="264" spans="1:12" x14ac:dyDescent="0.25">
      <c r="A264" s="41" t="s">
        <v>39</v>
      </c>
      <c r="B264" s="6">
        <v>9</v>
      </c>
      <c r="C264" s="6" t="str">
        <f>'[1]key drivers'!$A$26</f>
        <v>Bravo</v>
      </c>
      <c r="D264" s="5" t="s">
        <v>40</v>
      </c>
      <c r="E264" s="42">
        <v>2014</v>
      </c>
      <c r="F264" s="6">
        <v>3.5</v>
      </c>
      <c r="G264" s="6">
        <v>1</v>
      </c>
      <c r="H264" s="7">
        <v>108</v>
      </c>
      <c r="I264" s="43">
        <v>108</v>
      </c>
      <c r="J264" s="9">
        <f t="shared" si="30"/>
        <v>619</v>
      </c>
      <c r="K264" s="44">
        <f t="shared" si="29"/>
        <v>378</v>
      </c>
      <c r="L264" s="16">
        <f t="shared" si="31"/>
        <v>0.21665000000000001</v>
      </c>
    </row>
    <row r="265" spans="1:12" x14ac:dyDescent="0.25">
      <c r="A265" s="41" t="s">
        <v>39</v>
      </c>
      <c r="B265" s="6">
        <v>10</v>
      </c>
      <c r="C265" s="6" t="str">
        <f>'[1]key drivers'!$A$26</f>
        <v>Bravo</v>
      </c>
      <c r="D265" s="5" t="s">
        <v>40</v>
      </c>
      <c r="E265" s="42">
        <v>2014</v>
      </c>
      <c r="F265" s="6">
        <v>3.5</v>
      </c>
      <c r="G265" s="6">
        <v>1</v>
      </c>
      <c r="H265" s="7">
        <v>150</v>
      </c>
      <c r="I265" s="43">
        <v>150</v>
      </c>
      <c r="J265" s="9">
        <f t="shared" si="30"/>
        <v>769</v>
      </c>
      <c r="K265" s="44">
        <f t="shared" si="29"/>
        <v>525</v>
      </c>
      <c r="L265" s="16">
        <f t="shared" si="31"/>
        <v>0.26915</v>
      </c>
    </row>
    <row r="266" spans="1:12" x14ac:dyDescent="0.25">
      <c r="A266" s="41" t="s">
        <v>39</v>
      </c>
      <c r="B266" s="6">
        <v>11</v>
      </c>
      <c r="C266" s="6" t="str">
        <f>'[1]key drivers'!$A$26</f>
        <v>Bravo</v>
      </c>
      <c r="D266" s="5" t="s">
        <v>40</v>
      </c>
      <c r="E266" s="42">
        <v>2014</v>
      </c>
      <c r="F266" s="6">
        <v>3.5</v>
      </c>
      <c r="G266" s="6">
        <v>1</v>
      </c>
      <c r="H266" s="7">
        <v>155</v>
      </c>
      <c r="I266" s="43">
        <v>155</v>
      </c>
      <c r="J266" s="9">
        <f t="shared" si="30"/>
        <v>924</v>
      </c>
      <c r="K266" s="44">
        <f t="shared" si="29"/>
        <v>542.5</v>
      </c>
      <c r="L266" s="16">
        <f t="shared" si="31"/>
        <v>0.32340000000000002</v>
      </c>
    </row>
    <row r="267" spans="1:12" x14ac:dyDescent="0.25">
      <c r="A267" s="41" t="s">
        <v>39</v>
      </c>
      <c r="B267" s="6">
        <v>12</v>
      </c>
      <c r="C267" s="6" t="str">
        <f>'[1]key drivers'!$A$26</f>
        <v>Bravo</v>
      </c>
      <c r="D267" s="5" t="s">
        <v>40</v>
      </c>
      <c r="E267" s="42">
        <v>2014</v>
      </c>
      <c r="F267" s="6">
        <v>3.5</v>
      </c>
      <c r="G267" s="6">
        <v>1</v>
      </c>
      <c r="H267" s="7">
        <v>163</v>
      </c>
      <c r="I267" s="43">
        <v>163</v>
      </c>
      <c r="J267" s="9">
        <f t="shared" si="30"/>
        <v>1087</v>
      </c>
      <c r="K267" s="44">
        <f t="shared" si="29"/>
        <v>570.5</v>
      </c>
      <c r="L267" s="16">
        <f t="shared" si="31"/>
        <v>0.38045000000000001</v>
      </c>
    </row>
    <row r="268" spans="1:12" x14ac:dyDescent="0.25">
      <c r="A268" s="5" t="s">
        <v>41</v>
      </c>
      <c r="B268" s="6">
        <v>13</v>
      </c>
      <c r="C268" s="6" t="str">
        <f>'[1]key drivers'!$A$26</f>
        <v>Bravo</v>
      </c>
      <c r="D268" s="6">
        <v>106</v>
      </c>
      <c r="E268" s="6">
        <v>2013</v>
      </c>
      <c r="F268" s="6">
        <v>4</v>
      </c>
      <c r="G268" s="6">
        <v>1</v>
      </c>
      <c r="H268" s="6">
        <v>151</v>
      </c>
      <c r="I268" s="9">
        <v>151</v>
      </c>
      <c r="J268" s="9">
        <f t="shared" si="30"/>
        <v>1238</v>
      </c>
      <c r="K268" s="10">
        <f t="shared" si="29"/>
        <v>604</v>
      </c>
      <c r="L268" s="16">
        <f t="shared" si="31"/>
        <v>0.44085000000000002</v>
      </c>
    </row>
    <row r="269" spans="1:12" x14ac:dyDescent="0.25">
      <c r="A269" s="5" t="s">
        <v>41</v>
      </c>
      <c r="B269" s="6">
        <v>14</v>
      </c>
      <c r="C269" s="6" t="str">
        <f>'[1]key drivers'!$A$26</f>
        <v>Bravo</v>
      </c>
      <c r="D269" s="6">
        <v>106</v>
      </c>
      <c r="E269" s="6">
        <v>2013</v>
      </c>
      <c r="F269" s="6">
        <v>4</v>
      </c>
      <c r="G269" s="6">
        <v>1</v>
      </c>
      <c r="H269" s="6">
        <v>154</v>
      </c>
      <c r="I269" s="9">
        <v>154</v>
      </c>
      <c r="J269" s="9">
        <f t="shared" si="30"/>
        <v>1392</v>
      </c>
      <c r="K269" s="10">
        <f t="shared" si="29"/>
        <v>616</v>
      </c>
      <c r="L269" s="16">
        <f t="shared" si="31"/>
        <v>0.50245000000000006</v>
      </c>
    </row>
    <row r="270" spans="1:12" x14ac:dyDescent="0.25">
      <c r="A270" s="5" t="s">
        <v>41</v>
      </c>
      <c r="B270" s="6">
        <v>15</v>
      </c>
      <c r="C270" s="6" t="str">
        <f>'[1]key drivers'!$A$26</f>
        <v>Bravo</v>
      </c>
      <c r="D270" s="6">
        <v>106</v>
      </c>
      <c r="E270" s="6">
        <v>2013</v>
      </c>
      <c r="F270" s="6">
        <v>4</v>
      </c>
      <c r="G270" s="6">
        <v>1</v>
      </c>
      <c r="H270" s="6">
        <v>154</v>
      </c>
      <c r="I270" s="9">
        <v>154</v>
      </c>
      <c r="J270" s="9">
        <f t="shared" si="30"/>
        <v>1546</v>
      </c>
      <c r="K270" s="10">
        <f t="shared" si="29"/>
        <v>616</v>
      </c>
      <c r="L270" s="16">
        <f t="shared" si="31"/>
        <v>0.56405000000000005</v>
      </c>
    </row>
    <row r="271" spans="1:12" ht="15.75" x14ac:dyDescent="0.25">
      <c r="A271" s="5" t="s">
        <v>41</v>
      </c>
      <c r="B271" s="46">
        <v>16</v>
      </c>
      <c r="C271" s="6" t="str">
        <f>'[1]key drivers'!$A$26</f>
        <v>Bravo</v>
      </c>
      <c r="D271" s="47">
        <v>106</v>
      </c>
      <c r="E271" s="6">
        <v>2013</v>
      </c>
      <c r="F271" s="6">
        <v>4</v>
      </c>
      <c r="G271" s="6">
        <v>1</v>
      </c>
      <c r="H271" s="6">
        <v>22</v>
      </c>
      <c r="I271" s="9">
        <v>22</v>
      </c>
      <c r="J271" s="9">
        <f t="shared" si="30"/>
        <v>1568</v>
      </c>
      <c r="K271" s="10">
        <f t="shared" si="29"/>
        <v>88</v>
      </c>
      <c r="L271" s="16">
        <f t="shared" si="31"/>
        <v>0.57285000000000008</v>
      </c>
    </row>
    <row r="272" spans="1:12" ht="15.75" x14ac:dyDescent="0.25">
      <c r="A272" s="5" t="s">
        <v>41</v>
      </c>
      <c r="B272" s="46">
        <v>16</v>
      </c>
      <c r="C272" s="6" t="str">
        <f>'[1]key drivers'!$A$26</f>
        <v>Bravo</v>
      </c>
      <c r="D272" s="47" t="s">
        <v>40</v>
      </c>
      <c r="E272" s="6">
        <v>2013</v>
      </c>
      <c r="F272" s="6">
        <v>4</v>
      </c>
      <c r="G272" s="6">
        <v>1</v>
      </c>
      <c r="H272" s="6">
        <v>146</v>
      </c>
      <c r="I272" s="9">
        <v>146</v>
      </c>
      <c r="J272" s="9">
        <f t="shared" si="30"/>
        <v>1714</v>
      </c>
      <c r="K272" s="10">
        <f t="shared" si="29"/>
        <v>584</v>
      </c>
      <c r="L272" s="16">
        <f t="shared" si="31"/>
        <v>0.63125000000000009</v>
      </c>
    </row>
    <row r="273" spans="1:12" x14ac:dyDescent="0.25">
      <c r="A273" s="5" t="s">
        <v>41</v>
      </c>
      <c r="B273" s="6">
        <v>17</v>
      </c>
      <c r="C273" s="6" t="str">
        <f>'[1]key drivers'!$A$26</f>
        <v>Bravo</v>
      </c>
      <c r="D273" s="6" t="s">
        <v>40</v>
      </c>
      <c r="E273" s="6">
        <v>2013</v>
      </c>
      <c r="F273" s="6">
        <v>4</v>
      </c>
      <c r="G273" s="6">
        <v>1</v>
      </c>
      <c r="H273" s="6">
        <v>178</v>
      </c>
      <c r="I273" s="9">
        <v>178</v>
      </c>
      <c r="J273" s="9">
        <f t="shared" si="30"/>
        <v>1892</v>
      </c>
      <c r="K273" s="10">
        <f t="shared" si="29"/>
        <v>712</v>
      </c>
      <c r="L273" s="16">
        <f t="shared" si="31"/>
        <v>0.70245000000000013</v>
      </c>
    </row>
    <row r="274" spans="1:12" x14ac:dyDescent="0.25">
      <c r="A274" s="5" t="s">
        <v>41</v>
      </c>
      <c r="B274" s="6">
        <v>18</v>
      </c>
      <c r="C274" s="6" t="str">
        <f>'[1]key drivers'!$A$26</f>
        <v>Bravo</v>
      </c>
      <c r="D274" s="6" t="s">
        <v>40</v>
      </c>
      <c r="E274" s="6">
        <v>2013</v>
      </c>
      <c r="F274" s="6">
        <v>4</v>
      </c>
      <c r="G274" s="6">
        <v>1</v>
      </c>
      <c r="H274" s="6">
        <v>180</v>
      </c>
      <c r="I274" s="9">
        <v>180</v>
      </c>
      <c r="J274" s="9">
        <f t="shared" si="30"/>
        <v>2072</v>
      </c>
      <c r="K274" s="10">
        <f t="shared" si="29"/>
        <v>720</v>
      </c>
      <c r="L274" s="16">
        <f t="shared" si="31"/>
        <v>0.77445000000000008</v>
      </c>
    </row>
    <row r="275" spans="1:12" ht="15.75" x14ac:dyDescent="0.25">
      <c r="A275" s="5" t="s">
        <v>41</v>
      </c>
      <c r="B275" s="48">
        <v>19</v>
      </c>
      <c r="C275" s="6" t="str">
        <f>'[1]key drivers'!$A$26</f>
        <v>Bravo</v>
      </c>
      <c r="D275" s="6" t="s">
        <v>40</v>
      </c>
      <c r="E275" s="6">
        <v>2013</v>
      </c>
      <c r="F275" s="6">
        <v>4</v>
      </c>
      <c r="G275" s="6">
        <v>1</v>
      </c>
      <c r="H275" s="6">
        <v>77</v>
      </c>
      <c r="I275" s="9">
        <v>77</v>
      </c>
      <c r="J275" s="9">
        <f t="shared" si="30"/>
        <v>2149</v>
      </c>
      <c r="K275" s="10">
        <f t="shared" si="29"/>
        <v>308</v>
      </c>
      <c r="L275" s="16">
        <f t="shared" si="31"/>
        <v>0.80525000000000013</v>
      </c>
    </row>
    <row r="276" spans="1:12" ht="15.75" x14ac:dyDescent="0.25">
      <c r="A276" s="41" t="s">
        <v>39</v>
      </c>
      <c r="B276" s="48">
        <v>19</v>
      </c>
      <c r="C276" s="6" t="str">
        <f>'[1]key drivers'!$A$26</f>
        <v>Bravo</v>
      </c>
      <c r="D276" s="6" t="s">
        <v>40</v>
      </c>
      <c r="E276" s="41">
        <v>2014</v>
      </c>
      <c r="F276" s="6">
        <v>3.5</v>
      </c>
      <c r="G276" s="6">
        <v>1</v>
      </c>
      <c r="H276" s="6">
        <v>106</v>
      </c>
      <c r="I276" s="18">
        <v>106</v>
      </c>
      <c r="J276" s="9">
        <f t="shared" si="30"/>
        <v>2255</v>
      </c>
      <c r="K276" s="44">
        <f t="shared" si="29"/>
        <v>371</v>
      </c>
      <c r="L276" s="16">
        <f t="shared" si="31"/>
        <v>0.84235000000000015</v>
      </c>
    </row>
    <row r="277" spans="1:12" x14ac:dyDescent="0.25">
      <c r="A277" s="41" t="s">
        <v>39</v>
      </c>
      <c r="B277" s="6">
        <v>20</v>
      </c>
      <c r="C277" s="6" t="str">
        <f>'[1]key drivers'!$A$26</f>
        <v>Bravo</v>
      </c>
      <c r="D277" s="6" t="s">
        <v>40</v>
      </c>
      <c r="E277" s="41">
        <v>2014</v>
      </c>
      <c r="F277" s="6">
        <v>3.5</v>
      </c>
      <c r="G277" s="6">
        <v>1</v>
      </c>
      <c r="H277" s="6">
        <v>184</v>
      </c>
      <c r="I277" s="9">
        <v>184</v>
      </c>
      <c r="J277" s="9">
        <f t="shared" si="30"/>
        <v>2439</v>
      </c>
      <c r="K277" s="44">
        <f t="shared" si="29"/>
        <v>644</v>
      </c>
      <c r="L277" s="16">
        <f t="shared" si="31"/>
        <v>0.90675000000000017</v>
      </c>
    </row>
    <row r="278" spans="1:12" x14ac:dyDescent="0.25">
      <c r="A278" s="41" t="s">
        <v>39</v>
      </c>
      <c r="B278" s="6">
        <v>21</v>
      </c>
      <c r="C278" s="6" t="str">
        <f>'[1]key drivers'!$A$26</f>
        <v>Bravo</v>
      </c>
      <c r="D278" s="6" t="s">
        <v>40</v>
      </c>
      <c r="E278" s="41">
        <v>2014</v>
      </c>
      <c r="F278" s="6">
        <v>3.5</v>
      </c>
      <c r="G278" s="6">
        <v>1</v>
      </c>
      <c r="H278" s="6">
        <v>182</v>
      </c>
      <c r="I278" s="9">
        <v>182</v>
      </c>
      <c r="J278" s="9">
        <f t="shared" si="30"/>
        <v>2621</v>
      </c>
      <c r="K278" s="44">
        <f t="shared" si="29"/>
        <v>637</v>
      </c>
      <c r="L278" s="16">
        <f t="shared" si="31"/>
        <v>0.97045000000000015</v>
      </c>
    </row>
    <row r="279" spans="1:12" x14ac:dyDescent="0.25">
      <c r="A279" s="41" t="s">
        <v>39</v>
      </c>
      <c r="B279" s="6">
        <v>22</v>
      </c>
      <c r="C279" s="6" t="str">
        <f>'[1]key drivers'!$A$26</f>
        <v>Bravo</v>
      </c>
      <c r="D279" s="6" t="s">
        <v>40</v>
      </c>
      <c r="E279" s="41">
        <v>2014</v>
      </c>
      <c r="F279" s="6">
        <v>3.5</v>
      </c>
      <c r="G279" s="6">
        <v>1</v>
      </c>
      <c r="H279" s="6">
        <v>183</v>
      </c>
      <c r="I279" s="9">
        <v>183</v>
      </c>
      <c r="J279" s="9">
        <f t="shared" si="30"/>
        <v>2804</v>
      </c>
      <c r="K279" s="44">
        <f t="shared" si="29"/>
        <v>640.5</v>
      </c>
      <c r="L279" s="16">
        <f t="shared" si="31"/>
        <v>1.0345000000000002</v>
      </c>
    </row>
    <row r="280" spans="1:12" x14ac:dyDescent="0.25">
      <c r="A280" s="41" t="s">
        <v>39</v>
      </c>
      <c r="B280" s="6">
        <v>23</v>
      </c>
      <c r="C280" s="6" t="str">
        <f>'[1]key drivers'!$A$26</f>
        <v>Bravo</v>
      </c>
      <c r="D280" s="6" t="s">
        <v>40</v>
      </c>
      <c r="E280" s="41">
        <v>2014</v>
      </c>
      <c r="F280" s="6">
        <v>3.5</v>
      </c>
      <c r="G280" s="6">
        <v>1</v>
      </c>
      <c r="H280" s="6">
        <v>188</v>
      </c>
      <c r="I280" s="9">
        <v>188</v>
      </c>
      <c r="J280" s="9">
        <f t="shared" si="30"/>
        <v>2992</v>
      </c>
      <c r="K280" s="44">
        <f t="shared" si="29"/>
        <v>658</v>
      </c>
      <c r="L280" s="16">
        <f t="shared" si="31"/>
        <v>1.1003000000000003</v>
      </c>
    </row>
    <row r="281" spans="1:12" x14ac:dyDescent="0.25">
      <c r="A281" s="41" t="s">
        <v>39</v>
      </c>
      <c r="B281" s="6">
        <v>24</v>
      </c>
      <c r="C281" s="6" t="str">
        <f>'[1]key drivers'!$A$26</f>
        <v>Bravo</v>
      </c>
      <c r="D281" s="6" t="s">
        <v>40</v>
      </c>
      <c r="E281" s="41">
        <v>2014</v>
      </c>
      <c r="F281" s="6">
        <v>3.5</v>
      </c>
      <c r="G281" s="6">
        <v>1</v>
      </c>
      <c r="H281" s="6">
        <v>193</v>
      </c>
      <c r="I281" s="9">
        <v>193</v>
      </c>
      <c r="J281" s="9">
        <f t="shared" si="30"/>
        <v>3185</v>
      </c>
      <c r="K281" s="44">
        <f t="shared" si="29"/>
        <v>675.5</v>
      </c>
      <c r="L281" s="16">
        <f t="shared" si="31"/>
        <v>1.1678500000000003</v>
      </c>
    </row>
    <row r="282" spans="1:12" x14ac:dyDescent="0.25">
      <c r="A282" s="41" t="s">
        <v>39</v>
      </c>
      <c r="B282" s="6">
        <v>25</v>
      </c>
      <c r="C282" s="6" t="str">
        <f>'[1]key drivers'!$A$26</f>
        <v>Bravo</v>
      </c>
      <c r="D282" s="6" t="s">
        <v>40</v>
      </c>
      <c r="E282" s="41">
        <v>2014</v>
      </c>
      <c r="F282" s="6">
        <v>3.5</v>
      </c>
      <c r="G282" s="6">
        <v>1</v>
      </c>
      <c r="H282" s="6">
        <v>192</v>
      </c>
      <c r="I282" s="9">
        <v>192</v>
      </c>
      <c r="J282" s="9">
        <f t="shared" si="30"/>
        <v>3377</v>
      </c>
      <c r="K282" s="44">
        <f t="shared" si="29"/>
        <v>672</v>
      </c>
      <c r="L282" s="16">
        <f t="shared" si="31"/>
        <v>1.2350500000000002</v>
      </c>
    </row>
    <row r="283" spans="1:12" x14ac:dyDescent="0.25">
      <c r="A283" s="41" t="s">
        <v>39</v>
      </c>
      <c r="B283" s="6">
        <v>26</v>
      </c>
      <c r="C283" s="6" t="str">
        <f>'[1]key drivers'!$A$26</f>
        <v>Bravo</v>
      </c>
      <c r="D283" s="6" t="s">
        <v>40</v>
      </c>
      <c r="E283" s="41">
        <v>2014</v>
      </c>
      <c r="F283" s="6">
        <v>3.5</v>
      </c>
      <c r="G283" s="6">
        <v>1</v>
      </c>
      <c r="H283" s="6">
        <v>192</v>
      </c>
      <c r="I283" s="9">
        <v>192</v>
      </c>
      <c r="J283" s="9">
        <f t="shared" si="30"/>
        <v>3569</v>
      </c>
      <c r="K283" s="44">
        <f t="shared" si="29"/>
        <v>672</v>
      </c>
      <c r="L283" s="16">
        <f t="shared" si="31"/>
        <v>1.3022500000000001</v>
      </c>
    </row>
    <row r="284" spans="1:12" ht="15.75" x14ac:dyDescent="0.25">
      <c r="A284" s="41" t="s">
        <v>39</v>
      </c>
      <c r="B284" s="48">
        <v>27</v>
      </c>
      <c r="C284" s="6" t="str">
        <f>'[1]key drivers'!$A$26</f>
        <v>Bravo</v>
      </c>
      <c r="D284" s="6" t="s">
        <v>40</v>
      </c>
      <c r="E284" s="41">
        <v>2014</v>
      </c>
      <c r="F284" s="6">
        <v>3.5</v>
      </c>
      <c r="G284" s="6">
        <v>1</v>
      </c>
      <c r="H284" s="6">
        <v>115</v>
      </c>
      <c r="I284" s="9">
        <v>115</v>
      </c>
      <c r="J284" s="9">
        <f t="shared" si="30"/>
        <v>3684</v>
      </c>
      <c r="K284" s="44">
        <f t="shared" si="29"/>
        <v>402.5</v>
      </c>
      <c r="L284" s="16">
        <f t="shared" si="31"/>
        <v>1.3425</v>
      </c>
    </row>
    <row r="285" spans="1:12" ht="15.75" x14ac:dyDescent="0.25">
      <c r="A285" s="49" t="s">
        <v>42</v>
      </c>
      <c r="B285" s="48">
        <v>27</v>
      </c>
      <c r="C285" s="6" t="str">
        <f>'[1]key drivers'!$A$26</f>
        <v>Bravo</v>
      </c>
      <c r="D285" s="6" t="s">
        <v>40</v>
      </c>
      <c r="E285" s="50">
        <v>2015</v>
      </c>
      <c r="F285" s="51">
        <v>3.5</v>
      </c>
      <c r="G285" s="6">
        <v>1</v>
      </c>
      <c r="H285" s="6">
        <v>83</v>
      </c>
      <c r="I285" s="9">
        <v>82.5</v>
      </c>
      <c r="J285" s="9">
        <f t="shared" si="30"/>
        <v>3766.5</v>
      </c>
      <c r="K285" s="44">
        <f t="shared" si="29"/>
        <v>288.75</v>
      </c>
      <c r="L285" s="16">
        <f t="shared" si="31"/>
        <v>1.371375</v>
      </c>
    </row>
    <row r="286" spans="1:12" ht="15.75" x14ac:dyDescent="0.25">
      <c r="A286" s="49" t="s">
        <v>42</v>
      </c>
      <c r="B286" s="6">
        <v>28</v>
      </c>
      <c r="C286" s="6" t="str">
        <f>'[1]key drivers'!$A$26</f>
        <v>Bravo</v>
      </c>
      <c r="D286" s="6" t="s">
        <v>40</v>
      </c>
      <c r="E286" s="50">
        <v>2015</v>
      </c>
      <c r="F286" s="51">
        <v>3.5</v>
      </c>
      <c r="G286" s="6">
        <v>1</v>
      </c>
      <c r="H286" s="6">
        <v>195</v>
      </c>
      <c r="I286" s="9">
        <v>199</v>
      </c>
      <c r="J286" s="9">
        <f t="shared" si="30"/>
        <v>3965.5</v>
      </c>
      <c r="K286" s="44">
        <f t="shared" si="29"/>
        <v>696.5</v>
      </c>
      <c r="L286" s="16">
        <f t="shared" si="31"/>
        <v>1.441025</v>
      </c>
    </row>
    <row r="287" spans="1:12" ht="15.75" x14ac:dyDescent="0.25">
      <c r="A287" s="49" t="s">
        <v>42</v>
      </c>
      <c r="B287" s="6">
        <v>29</v>
      </c>
      <c r="C287" s="6" t="str">
        <f>'[1]key drivers'!$A$26</f>
        <v>Bravo</v>
      </c>
      <c r="D287" s="6" t="s">
        <v>40</v>
      </c>
      <c r="E287" s="50">
        <v>2015</v>
      </c>
      <c r="F287" s="51">
        <v>3.5</v>
      </c>
      <c r="G287" s="6">
        <v>1</v>
      </c>
      <c r="H287" s="6">
        <v>198</v>
      </c>
      <c r="I287" s="9">
        <v>200.5</v>
      </c>
      <c r="J287" s="9">
        <f t="shared" si="30"/>
        <v>4166</v>
      </c>
      <c r="K287" s="44">
        <f t="shared" si="29"/>
        <v>701.75</v>
      </c>
      <c r="L287" s="16">
        <f t="shared" si="31"/>
        <v>1.5112000000000001</v>
      </c>
    </row>
    <row r="288" spans="1:12" ht="15.75" x14ac:dyDescent="0.25">
      <c r="A288" s="49" t="s">
        <v>42</v>
      </c>
      <c r="B288" s="6">
        <v>30</v>
      </c>
      <c r="C288" s="6" t="str">
        <f>'[1]key drivers'!$A$26</f>
        <v>Bravo</v>
      </c>
      <c r="D288" s="6" t="s">
        <v>40</v>
      </c>
      <c r="E288" s="50">
        <v>2015</v>
      </c>
      <c r="F288" s="51">
        <v>3.5</v>
      </c>
      <c r="G288" s="6">
        <v>1</v>
      </c>
      <c r="H288" s="6">
        <v>199</v>
      </c>
      <c r="I288" s="9">
        <v>201</v>
      </c>
      <c r="J288" s="9">
        <f t="shared" si="30"/>
        <v>4367</v>
      </c>
      <c r="K288" s="44">
        <f t="shared" si="29"/>
        <v>703.5</v>
      </c>
      <c r="L288" s="16">
        <f t="shared" si="31"/>
        <v>1.58155</v>
      </c>
    </row>
    <row r="289" spans="1:12" ht="15.75" x14ac:dyDescent="0.25">
      <c r="A289" s="49" t="s">
        <v>42</v>
      </c>
      <c r="B289" s="6">
        <v>31</v>
      </c>
      <c r="C289" s="6" t="str">
        <f>'[1]key drivers'!$A$26</f>
        <v>Bravo</v>
      </c>
      <c r="D289" s="6" t="s">
        <v>40</v>
      </c>
      <c r="E289" s="50">
        <v>2015</v>
      </c>
      <c r="F289" s="51">
        <v>3.5</v>
      </c>
      <c r="G289" s="6">
        <v>1</v>
      </c>
      <c r="H289" s="6">
        <v>204</v>
      </c>
      <c r="I289" s="9">
        <v>203</v>
      </c>
      <c r="J289" s="9">
        <f t="shared" si="30"/>
        <v>4570</v>
      </c>
      <c r="K289" s="44">
        <f t="shared" si="29"/>
        <v>710.5</v>
      </c>
      <c r="L289" s="16">
        <f t="shared" si="31"/>
        <v>1.6526000000000001</v>
      </c>
    </row>
    <row r="290" spans="1:12" ht="15.75" x14ac:dyDescent="0.25">
      <c r="A290" s="49" t="s">
        <v>42</v>
      </c>
      <c r="B290" s="6">
        <v>32</v>
      </c>
      <c r="C290" s="6" t="str">
        <f>'[1]key drivers'!$A$26</f>
        <v>Bravo</v>
      </c>
      <c r="D290" s="6" t="s">
        <v>40</v>
      </c>
      <c r="E290" s="50">
        <v>2015</v>
      </c>
      <c r="F290" s="51">
        <v>3.5</v>
      </c>
      <c r="G290" s="6">
        <v>1</v>
      </c>
      <c r="H290" s="6">
        <v>201</v>
      </c>
      <c r="I290" s="9">
        <v>205.5</v>
      </c>
      <c r="J290" s="9">
        <f t="shared" si="30"/>
        <v>4775.5</v>
      </c>
      <c r="K290" s="44">
        <f t="shared" si="29"/>
        <v>719.25</v>
      </c>
      <c r="L290" s="16">
        <f t="shared" si="31"/>
        <v>1.7245250000000001</v>
      </c>
    </row>
    <row r="291" spans="1:12" ht="15.75" x14ac:dyDescent="0.25">
      <c r="A291" s="49" t="s">
        <v>42</v>
      </c>
      <c r="B291" s="6">
        <v>33</v>
      </c>
      <c r="C291" s="6" t="str">
        <f>'[1]key drivers'!$A$26</f>
        <v>Bravo</v>
      </c>
      <c r="D291" s="6" t="s">
        <v>40</v>
      </c>
      <c r="E291" s="50">
        <v>2015</v>
      </c>
      <c r="F291" s="51">
        <v>3.5</v>
      </c>
      <c r="G291" s="6">
        <v>1</v>
      </c>
      <c r="H291" s="6">
        <v>202</v>
      </c>
      <c r="I291" s="9">
        <v>206</v>
      </c>
      <c r="J291" s="9">
        <f t="shared" si="30"/>
        <v>4981.5</v>
      </c>
      <c r="K291" s="44">
        <f t="shared" si="29"/>
        <v>721</v>
      </c>
      <c r="L291" s="16">
        <f t="shared" si="31"/>
        <v>1.7966250000000001</v>
      </c>
    </row>
    <row r="292" spans="1:12" ht="15.75" x14ac:dyDescent="0.25">
      <c r="A292" s="49" t="s">
        <v>42</v>
      </c>
      <c r="B292" s="6">
        <v>34</v>
      </c>
      <c r="C292" s="6" t="str">
        <f>'[1]key drivers'!$A$26</f>
        <v>Bravo</v>
      </c>
      <c r="D292" s="6" t="s">
        <v>40</v>
      </c>
      <c r="E292" s="50">
        <v>2015</v>
      </c>
      <c r="F292" s="51">
        <v>3.5</v>
      </c>
      <c r="G292" s="6">
        <v>1</v>
      </c>
      <c r="H292" s="6">
        <v>207</v>
      </c>
      <c r="I292" s="9">
        <v>207</v>
      </c>
      <c r="J292" s="9">
        <f t="shared" si="30"/>
        <v>5188.5</v>
      </c>
      <c r="K292" s="44">
        <f t="shared" si="29"/>
        <v>724.5</v>
      </c>
      <c r="L292" s="16">
        <f t="shared" si="31"/>
        <v>1.869075</v>
      </c>
    </row>
    <row r="293" spans="1:12" ht="15.75" x14ac:dyDescent="0.25">
      <c r="A293" s="49" t="s">
        <v>42</v>
      </c>
      <c r="B293" s="6">
        <v>35</v>
      </c>
      <c r="C293" s="6" t="str">
        <f>'[1]key drivers'!$A$26</f>
        <v>Bravo</v>
      </c>
      <c r="D293" s="6" t="s">
        <v>40</v>
      </c>
      <c r="E293" s="50">
        <v>2015</v>
      </c>
      <c r="F293" s="51">
        <v>3.5</v>
      </c>
      <c r="G293" s="6">
        <v>1</v>
      </c>
      <c r="H293" s="6">
        <v>207</v>
      </c>
      <c r="I293" s="9">
        <v>207</v>
      </c>
      <c r="J293" s="9">
        <f t="shared" si="30"/>
        <v>5395.5</v>
      </c>
      <c r="K293" s="44">
        <f t="shared" si="29"/>
        <v>724.5</v>
      </c>
      <c r="L293" s="16">
        <f t="shared" si="31"/>
        <v>1.9415249999999999</v>
      </c>
    </row>
    <row r="294" spans="1:12" x14ac:dyDescent="0.25">
      <c r="B294" s="17"/>
      <c r="G294" s="17"/>
      <c r="I294" s="32"/>
      <c r="J294" s="32"/>
      <c r="K294" s="33"/>
    </row>
    <row r="295" spans="1:12" x14ac:dyDescent="0.25">
      <c r="A295" s="52" t="s">
        <v>43</v>
      </c>
      <c r="B295" s="6">
        <v>1</v>
      </c>
      <c r="C295" s="53" t="s">
        <v>44</v>
      </c>
      <c r="D295" s="5" t="s">
        <v>40</v>
      </c>
      <c r="E295" s="6">
        <v>2016</v>
      </c>
      <c r="F295" s="54">
        <v>3</v>
      </c>
      <c r="G295" s="6">
        <v>1</v>
      </c>
      <c r="H295" s="6">
        <v>183</v>
      </c>
      <c r="I295" s="9">
        <v>183</v>
      </c>
      <c r="J295" s="55">
        <f>I295</f>
        <v>183</v>
      </c>
      <c r="K295" s="10">
        <f>F295*I295</f>
        <v>549</v>
      </c>
      <c r="L295" s="16">
        <f>K295/10000</f>
        <v>5.4899999999999997E-2</v>
      </c>
    </row>
    <row r="296" spans="1:12" x14ac:dyDescent="0.25">
      <c r="A296" s="52" t="s">
        <v>43</v>
      </c>
      <c r="B296" s="6">
        <v>2</v>
      </c>
      <c r="C296" s="53" t="s">
        <v>44</v>
      </c>
      <c r="D296" s="5" t="s">
        <v>40</v>
      </c>
      <c r="E296" s="6">
        <v>2016</v>
      </c>
      <c r="F296" s="54">
        <v>3</v>
      </c>
      <c r="G296" s="6">
        <v>1</v>
      </c>
      <c r="H296" s="6">
        <v>182</v>
      </c>
      <c r="I296" s="9">
        <v>182</v>
      </c>
      <c r="J296" s="56">
        <f>J295+I296</f>
        <v>365</v>
      </c>
      <c r="K296" s="10">
        <f t="shared" ref="K296:K310" si="32">F296*I296</f>
        <v>546</v>
      </c>
      <c r="L296" s="16">
        <f>(K296/10000)+L295</f>
        <v>0.1095</v>
      </c>
    </row>
    <row r="297" spans="1:12" x14ac:dyDescent="0.25">
      <c r="A297" s="52" t="s">
        <v>43</v>
      </c>
      <c r="B297" s="6">
        <v>3</v>
      </c>
      <c r="C297" s="53" t="s">
        <v>44</v>
      </c>
      <c r="D297" s="5" t="s">
        <v>40</v>
      </c>
      <c r="E297" s="6">
        <v>2016</v>
      </c>
      <c r="F297" s="54">
        <v>3</v>
      </c>
      <c r="G297" s="6">
        <v>1</v>
      </c>
      <c r="H297" s="6">
        <v>181</v>
      </c>
      <c r="I297" s="9">
        <v>181</v>
      </c>
      <c r="J297" s="56">
        <f t="shared" ref="J297:J310" si="33">J296+I297</f>
        <v>546</v>
      </c>
      <c r="K297" s="10">
        <f t="shared" si="32"/>
        <v>543</v>
      </c>
      <c r="L297" s="16">
        <f t="shared" ref="L297:L310" si="34">(K297/10000)+L296</f>
        <v>0.1638</v>
      </c>
    </row>
    <row r="298" spans="1:12" x14ac:dyDescent="0.25">
      <c r="A298" s="52" t="s">
        <v>43</v>
      </c>
      <c r="B298" s="6">
        <v>4</v>
      </c>
      <c r="C298" s="53" t="s">
        <v>44</v>
      </c>
      <c r="D298" s="5" t="s">
        <v>40</v>
      </c>
      <c r="E298" s="6">
        <v>2016</v>
      </c>
      <c r="F298" s="54">
        <v>3</v>
      </c>
      <c r="G298" s="6">
        <v>1</v>
      </c>
      <c r="H298" s="6">
        <v>180</v>
      </c>
      <c r="I298" s="9">
        <v>180</v>
      </c>
      <c r="J298" s="56">
        <f t="shared" si="33"/>
        <v>726</v>
      </c>
      <c r="K298" s="10">
        <f t="shared" si="32"/>
        <v>540</v>
      </c>
      <c r="L298" s="16">
        <f t="shared" si="34"/>
        <v>0.21779999999999999</v>
      </c>
    </row>
    <row r="299" spans="1:12" x14ac:dyDescent="0.25">
      <c r="A299" s="52" t="s">
        <v>43</v>
      </c>
      <c r="B299" s="6">
        <v>5</v>
      </c>
      <c r="C299" s="53" t="s">
        <v>44</v>
      </c>
      <c r="D299" s="5" t="s">
        <v>40</v>
      </c>
      <c r="E299" s="6">
        <v>2016</v>
      </c>
      <c r="F299" s="54">
        <v>3</v>
      </c>
      <c r="G299" s="6">
        <v>1</v>
      </c>
      <c r="H299" s="6">
        <v>179</v>
      </c>
      <c r="I299" s="9">
        <v>179</v>
      </c>
      <c r="J299" s="56">
        <f t="shared" si="33"/>
        <v>905</v>
      </c>
      <c r="K299" s="10">
        <f t="shared" si="32"/>
        <v>537</v>
      </c>
      <c r="L299" s="16">
        <f t="shared" si="34"/>
        <v>0.27149999999999996</v>
      </c>
    </row>
    <row r="300" spans="1:12" x14ac:dyDescent="0.25">
      <c r="A300" s="52" t="s">
        <v>43</v>
      </c>
      <c r="B300" s="6">
        <v>6</v>
      </c>
      <c r="C300" s="53" t="s">
        <v>44</v>
      </c>
      <c r="D300" s="5" t="s">
        <v>40</v>
      </c>
      <c r="E300" s="6">
        <v>2016</v>
      </c>
      <c r="F300" s="54">
        <v>3</v>
      </c>
      <c r="G300" s="6">
        <v>1</v>
      </c>
      <c r="H300" s="6">
        <v>178</v>
      </c>
      <c r="I300" s="9">
        <v>178</v>
      </c>
      <c r="J300" s="56">
        <f t="shared" si="33"/>
        <v>1083</v>
      </c>
      <c r="K300" s="10">
        <f t="shared" si="32"/>
        <v>534</v>
      </c>
      <c r="L300" s="16">
        <f t="shared" si="34"/>
        <v>0.32489999999999997</v>
      </c>
    </row>
    <row r="301" spans="1:12" x14ac:dyDescent="0.25">
      <c r="A301" s="52" t="s">
        <v>43</v>
      </c>
      <c r="B301" s="6">
        <v>7</v>
      </c>
      <c r="C301" s="53" t="s">
        <v>44</v>
      </c>
      <c r="D301" s="5" t="s">
        <v>40</v>
      </c>
      <c r="E301" s="6">
        <v>2016</v>
      </c>
      <c r="F301" s="54">
        <v>3</v>
      </c>
      <c r="G301" s="6">
        <v>1</v>
      </c>
      <c r="H301" s="6">
        <v>177</v>
      </c>
      <c r="I301" s="9">
        <v>177</v>
      </c>
      <c r="J301" s="56">
        <f t="shared" si="33"/>
        <v>1260</v>
      </c>
      <c r="K301" s="10">
        <f t="shared" si="32"/>
        <v>531</v>
      </c>
      <c r="L301" s="16">
        <f t="shared" si="34"/>
        <v>0.37799999999999995</v>
      </c>
    </row>
    <row r="302" spans="1:12" x14ac:dyDescent="0.25">
      <c r="A302" s="52" t="s">
        <v>43</v>
      </c>
      <c r="B302" s="6">
        <v>8</v>
      </c>
      <c r="C302" s="53" t="s">
        <v>44</v>
      </c>
      <c r="D302" s="5" t="s">
        <v>40</v>
      </c>
      <c r="E302" s="6">
        <v>2016</v>
      </c>
      <c r="F302" s="54">
        <v>3</v>
      </c>
      <c r="G302" s="6">
        <v>1</v>
      </c>
      <c r="H302" s="6">
        <v>177</v>
      </c>
      <c r="I302" s="9">
        <v>177</v>
      </c>
      <c r="J302" s="56">
        <f t="shared" si="33"/>
        <v>1437</v>
      </c>
      <c r="K302" s="10">
        <f t="shared" si="32"/>
        <v>531</v>
      </c>
      <c r="L302" s="16">
        <f t="shared" si="34"/>
        <v>0.43109999999999993</v>
      </c>
    </row>
    <row r="303" spans="1:12" x14ac:dyDescent="0.25">
      <c r="A303" s="52" t="s">
        <v>43</v>
      </c>
      <c r="B303" s="6">
        <v>9</v>
      </c>
      <c r="C303" s="53" t="s">
        <v>44</v>
      </c>
      <c r="D303" s="5" t="s">
        <v>40</v>
      </c>
      <c r="E303" s="6">
        <v>2016</v>
      </c>
      <c r="F303" s="54">
        <v>3</v>
      </c>
      <c r="G303" s="6">
        <v>1</v>
      </c>
      <c r="H303" s="6">
        <v>176</v>
      </c>
      <c r="I303" s="9">
        <v>176</v>
      </c>
      <c r="J303" s="56">
        <f t="shared" si="33"/>
        <v>1613</v>
      </c>
      <c r="K303" s="10">
        <f t="shared" si="32"/>
        <v>528</v>
      </c>
      <c r="L303" s="16">
        <f t="shared" si="34"/>
        <v>0.48389999999999994</v>
      </c>
    </row>
    <row r="304" spans="1:12" x14ac:dyDescent="0.25">
      <c r="A304" s="52" t="s">
        <v>43</v>
      </c>
      <c r="B304" s="6">
        <v>10</v>
      </c>
      <c r="C304" s="53" t="s">
        <v>44</v>
      </c>
      <c r="D304" s="5" t="s">
        <v>40</v>
      </c>
      <c r="E304" s="6">
        <v>2016</v>
      </c>
      <c r="F304" s="54">
        <v>3</v>
      </c>
      <c r="G304" s="6">
        <v>1</v>
      </c>
      <c r="H304" s="6">
        <v>175</v>
      </c>
      <c r="I304" s="9">
        <v>175</v>
      </c>
      <c r="J304" s="56">
        <f t="shared" si="33"/>
        <v>1788</v>
      </c>
      <c r="K304" s="10">
        <f t="shared" si="32"/>
        <v>525</v>
      </c>
      <c r="L304" s="16">
        <f t="shared" si="34"/>
        <v>0.53639999999999999</v>
      </c>
    </row>
    <row r="305" spans="1:12" x14ac:dyDescent="0.25">
      <c r="A305" s="52" t="s">
        <v>43</v>
      </c>
      <c r="B305" s="6">
        <v>11</v>
      </c>
      <c r="C305" s="53" t="s">
        <v>44</v>
      </c>
      <c r="D305" s="5" t="s">
        <v>40</v>
      </c>
      <c r="E305" s="6">
        <v>2016</v>
      </c>
      <c r="F305" s="54">
        <v>3</v>
      </c>
      <c r="G305" s="6">
        <v>1</v>
      </c>
      <c r="H305" s="6">
        <v>175</v>
      </c>
      <c r="I305" s="9">
        <v>175</v>
      </c>
      <c r="J305" s="56">
        <f t="shared" si="33"/>
        <v>1963</v>
      </c>
      <c r="K305" s="10">
        <f t="shared" si="32"/>
        <v>525</v>
      </c>
      <c r="L305" s="16">
        <f t="shared" si="34"/>
        <v>0.58889999999999998</v>
      </c>
    </row>
    <row r="306" spans="1:12" x14ac:dyDescent="0.25">
      <c r="A306" s="52" t="s">
        <v>43</v>
      </c>
      <c r="B306" s="6">
        <v>12</v>
      </c>
      <c r="C306" s="53" t="s">
        <v>44</v>
      </c>
      <c r="D306" s="5" t="s">
        <v>40</v>
      </c>
      <c r="E306" s="6">
        <v>2016</v>
      </c>
      <c r="F306" s="54">
        <v>3</v>
      </c>
      <c r="G306" s="6">
        <v>1</v>
      </c>
      <c r="H306" s="6">
        <v>174</v>
      </c>
      <c r="I306" s="9">
        <v>174</v>
      </c>
      <c r="J306" s="56">
        <f t="shared" si="33"/>
        <v>2137</v>
      </c>
      <c r="K306" s="10">
        <f t="shared" si="32"/>
        <v>522</v>
      </c>
      <c r="L306" s="16">
        <f t="shared" si="34"/>
        <v>0.6411</v>
      </c>
    </row>
    <row r="307" spans="1:12" x14ac:dyDescent="0.25">
      <c r="A307" s="52" t="s">
        <v>43</v>
      </c>
      <c r="B307" s="6">
        <v>13</v>
      </c>
      <c r="C307" s="53" t="s">
        <v>44</v>
      </c>
      <c r="D307" s="5" t="s">
        <v>40</v>
      </c>
      <c r="E307" s="6">
        <v>2016</v>
      </c>
      <c r="F307" s="54">
        <v>3</v>
      </c>
      <c r="G307" s="6">
        <v>1</v>
      </c>
      <c r="H307" s="6">
        <v>173</v>
      </c>
      <c r="I307" s="9">
        <v>173</v>
      </c>
      <c r="J307" s="56">
        <f t="shared" si="33"/>
        <v>2310</v>
      </c>
      <c r="K307" s="10">
        <f t="shared" si="32"/>
        <v>519</v>
      </c>
      <c r="L307" s="16">
        <f t="shared" si="34"/>
        <v>0.69300000000000006</v>
      </c>
    </row>
    <row r="308" spans="1:12" x14ac:dyDescent="0.25">
      <c r="A308" s="52" t="s">
        <v>43</v>
      </c>
      <c r="B308" s="6">
        <v>14</v>
      </c>
      <c r="C308" s="53" t="s">
        <v>44</v>
      </c>
      <c r="D308" s="5" t="s">
        <v>40</v>
      </c>
      <c r="E308" s="6">
        <v>2016</v>
      </c>
      <c r="F308" s="54">
        <v>3</v>
      </c>
      <c r="G308" s="6">
        <v>1</v>
      </c>
      <c r="H308" s="6">
        <v>173</v>
      </c>
      <c r="I308" s="9">
        <v>173</v>
      </c>
      <c r="J308" s="56">
        <f t="shared" si="33"/>
        <v>2483</v>
      </c>
      <c r="K308" s="10">
        <f t="shared" si="32"/>
        <v>519</v>
      </c>
      <c r="L308" s="16">
        <f t="shared" si="34"/>
        <v>0.74490000000000012</v>
      </c>
    </row>
    <row r="309" spans="1:12" x14ac:dyDescent="0.25">
      <c r="A309" s="52" t="s">
        <v>43</v>
      </c>
      <c r="B309" s="6">
        <v>15</v>
      </c>
      <c r="C309" s="53" t="s">
        <v>44</v>
      </c>
      <c r="D309" s="5" t="s">
        <v>40</v>
      </c>
      <c r="E309" s="6">
        <v>2016</v>
      </c>
      <c r="F309" s="54">
        <v>3</v>
      </c>
      <c r="G309" s="6">
        <v>1</v>
      </c>
      <c r="H309" s="6">
        <v>172</v>
      </c>
      <c r="I309" s="9">
        <v>172</v>
      </c>
      <c r="J309" s="56">
        <f t="shared" si="33"/>
        <v>2655</v>
      </c>
      <c r="K309" s="10">
        <f t="shared" si="32"/>
        <v>516</v>
      </c>
      <c r="L309" s="16">
        <f t="shared" si="34"/>
        <v>0.7965000000000001</v>
      </c>
    </row>
    <row r="310" spans="1:12" x14ac:dyDescent="0.25">
      <c r="A310" s="52" t="s">
        <v>43</v>
      </c>
      <c r="B310" s="6">
        <v>16</v>
      </c>
      <c r="C310" s="53" t="s">
        <v>44</v>
      </c>
      <c r="D310" s="5" t="s">
        <v>40</v>
      </c>
      <c r="E310" s="6">
        <v>2016</v>
      </c>
      <c r="F310" s="54">
        <v>3</v>
      </c>
      <c r="G310" s="6">
        <v>1</v>
      </c>
      <c r="H310" s="6">
        <v>171</v>
      </c>
      <c r="I310" s="9">
        <v>171</v>
      </c>
      <c r="J310" s="56">
        <f t="shared" si="33"/>
        <v>2826</v>
      </c>
      <c r="K310" s="10">
        <f t="shared" si="32"/>
        <v>513</v>
      </c>
      <c r="L310" s="16">
        <f t="shared" si="34"/>
        <v>0.84780000000000011</v>
      </c>
    </row>
    <row r="311" spans="1:12" x14ac:dyDescent="0.25">
      <c r="B311" s="17"/>
      <c r="G311" s="17"/>
      <c r="I311" s="32"/>
      <c r="J311" s="32"/>
      <c r="K311" s="33"/>
    </row>
    <row r="312" spans="1:12" x14ac:dyDescent="0.25">
      <c r="A312" s="41" t="s">
        <v>45</v>
      </c>
      <c r="B312" s="6">
        <v>1</v>
      </c>
      <c r="C312" s="6" t="str">
        <f>'[1]key drivers'!$A$27</f>
        <v>Modi</v>
      </c>
      <c r="D312" s="6" t="s">
        <v>40</v>
      </c>
      <c r="E312" s="5">
        <v>2015</v>
      </c>
      <c r="F312" s="54">
        <v>3</v>
      </c>
      <c r="G312" s="6">
        <v>1</v>
      </c>
      <c r="H312" s="6">
        <v>145</v>
      </c>
      <c r="I312" s="56">
        <v>145</v>
      </c>
      <c r="J312" s="56">
        <f>I312</f>
        <v>145</v>
      </c>
      <c r="K312" s="57">
        <f>F312*I312</f>
        <v>435</v>
      </c>
      <c r="L312" s="45">
        <f>K312/10000</f>
        <v>4.3499999999999997E-2</v>
      </c>
    </row>
    <row r="313" spans="1:12" x14ac:dyDescent="0.25">
      <c r="A313" s="41" t="s">
        <v>45</v>
      </c>
      <c r="B313" s="6">
        <v>2</v>
      </c>
      <c r="C313" s="6" t="str">
        <f>'[1]key drivers'!$A$27</f>
        <v>Modi</v>
      </c>
      <c r="D313" s="6" t="s">
        <v>40</v>
      </c>
      <c r="E313" s="5">
        <v>2015</v>
      </c>
      <c r="F313" s="54">
        <v>3</v>
      </c>
      <c r="G313" s="6">
        <v>1</v>
      </c>
      <c r="H313" s="6">
        <v>145</v>
      </c>
      <c r="I313" s="56">
        <v>145</v>
      </c>
      <c r="J313" s="56">
        <f>J312+I313</f>
        <v>290</v>
      </c>
      <c r="K313" s="57">
        <f t="shared" ref="K313:K337" si="35">F313*I313</f>
        <v>435</v>
      </c>
      <c r="L313" s="45">
        <f>(K313/10000)+L312</f>
        <v>8.6999999999999994E-2</v>
      </c>
    </row>
    <row r="314" spans="1:12" x14ac:dyDescent="0.25">
      <c r="A314" s="41" t="s">
        <v>45</v>
      </c>
      <c r="B314" s="6">
        <v>3</v>
      </c>
      <c r="C314" s="6" t="str">
        <f>'[1]key drivers'!$A$27</f>
        <v>Modi</v>
      </c>
      <c r="D314" s="6" t="s">
        <v>40</v>
      </c>
      <c r="E314" s="5">
        <v>2015</v>
      </c>
      <c r="F314" s="54">
        <v>3</v>
      </c>
      <c r="G314" s="6">
        <v>1</v>
      </c>
      <c r="H314" s="6">
        <v>145</v>
      </c>
      <c r="I314" s="56">
        <v>145</v>
      </c>
      <c r="J314" s="56">
        <f t="shared" ref="J314:J337" si="36">J313+I314</f>
        <v>435</v>
      </c>
      <c r="K314" s="57">
        <f t="shared" si="35"/>
        <v>435</v>
      </c>
      <c r="L314" s="45">
        <f t="shared" ref="L314:L337" si="37">(K314/10000)+L313</f>
        <v>0.1305</v>
      </c>
    </row>
    <row r="315" spans="1:12" x14ac:dyDescent="0.25">
      <c r="A315" s="41" t="s">
        <v>45</v>
      </c>
      <c r="B315" s="6">
        <v>4</v>
      </c>
      <c r="C315" s="6" t="str">
        <f>'[1]key drivers'!$A$27</f>
        <v>Modi</v>
      </c>
      <c r="D315" s="6" t="s">
        <v>40</v>
      </c>
      <c r="E315" s="5">
        <v>2015</v>
      </c>
      <c r="F315" s="54">
        <v>3</v>
      </c>
      <c r="G315" s="6">
        <v>1</v>
      </c>
      <c r="H315" s="6">
        <v>145</v>
      </c>
      <c r="I315" s="56">
        <v>145</v>
      </c>
      <c r="J315" s="56">
        <f t="shared" si="36"/>
        <v>580</v>
      </c>
      <c r="K315" s="57">
        <f t="shared" si="35"/>
        <v>435</v>
      </c>
      <c r="L315" s="45">
        <f t="shared" si="37"/>
        <v>0.17399999999999999</v>
      </c>
    </row>
    <row r="316" spans="1:12" x14ac:dyDescent="0.25">
      <c r="A316" s="41" t="s">
        <v>45</v>
      </c>
      <c r="B316" s="6">
        <v>5</v>
      </c>
      <c r="C316" s="6" t="str">
        <f>'[1]key drivers'!$A$27</f>
        <v>Modi</v>
      </c>
      <c r="D316" s="6" t="s">
        <v>40</v>
      </c>
      <c r="E316" s="5">
        <v>2015</v>
      </c>
      <c r="F316" s="54">
        <v>3</v>
      </c>
      <c r="G316" s="6">
        <v>1</v>
      </c>
      <c r="H316" s="6">
        <v>145</v>
      </c>
      <c r="I316" s="56">
        <v>145</v>
      </c>
      <c r="J316" s="56">
        <f t="shared" si="36"/>
        <v>725</v>
      </c>
      <c r="K316" s="57">
        <f t="shared" si="35"/>
        <v>435</v>
      </c>
      <c r="L316" s="45">
        <f t="shared" si="37"/>
        <v>0.21749999999999997</v>
      </c>
    </row>
    <row r="317" spans="1:12" x14ac:dyDescent="0.25">
      <c r="A317" s="41" t="s">
        <v>45</v>
      </c>
      <c r="B317" s="6">
        <v>6</v>
      </c>
      <c r="C317" s="6" t="str">
        <f>'[1]key drivers'!$A$27</f>
        <v>Modi</v>
      </c>
      <c r="D317" s="6" t="s">
        <v>40</v>
      </c>
      <c r="E317" s="5">
        <v>2015</v>
      </c>
      <c r="F317" s="54">
        <v>3</v>
      </c>
      <c r="G317" s="6">
        <v>1</v>
      </c>
      <c r="H317" s="6">
        <v>145</v>
      </c>
      <c r="I317" s="56">
        <v>145</v>
      </c>
      <c r="J317" s="56">
        <f t="shared" si="36"/>
        <v>870</v>
      </c>
      <c r="K317" s="57">
        <f t="shared" si="35"/>
        <v>435</v>
      </c>
      <c r="L317" s="45">
        <f t="shared" si="37"/>
        <v>0.26099999999999995</v>
      </c>
    </row>
    <row r="318" spans="1:12" x14ac:dyDescent="0.25">
      <c r="A318" s="41" t="s">
        <v>45</v>
      </c>
      <c r="B318" s="6">
        <v>7</v>
      </c>
      <c r="C318" s="6" t="str">
        <f>'[1]key drivers'!$A$27</f>
        <v>Modi</v>
      </c>
      <c r="D318" s="6" t="s">
        <v>40</v>
      </c>
      <c r="E318" s="5">
        <v>2015</v>
      </c>
      <c r="F318" s="54">
        <v>3</v>
      </c>
      <c r="G318" s="6">
        <v>1</v>
      </c>
      <c r="H318" s="6">
        <v>145</v>
      </c>
      <c r="I318" s="56">
        <v>145</v>
      </c>
      <c r="J318" s="56">
        <f t="shared" si="36"/>
        <v>1015</v>
      </c>
      <c r="K318" s="57">
        <f t="shared" si="35"/>
        <v>435</v>
      </c>
      <c r="L318" s="45">
        <f t="shared" si="37"/>
        <v>0.30449999999999994</v>
      </c>
    </row>
    <row r="319" spans="1:12" x14ac:dyDescent="0.25">
      <c r="A319" s="41" t="s">
        <v>45</v>
      </c>
      <c r="B319" s="6">
        <v>8</v>
      </c>
      <c r="C319" s="6" t="str">
        <f>'[1]key drivers'!$A$27</f>
        <v>Modi</v>
      </c>
      <c r="D319" s="6" t="s">
        <v>40</v>
      </c>
      <c r="E319" s="5">
        <v>2015</v>
      </c>
      <c r="F319" s="54">
        <v>3</v>
      </c>
      <c r="G319" s="6">
        <v>1</v>
      </c>
      <c r="H319" s="6">
        <v>145</v>
      </c>
      <c r="I319" s="56">
        <v>145</v>
      </c>
      <c r="J319" s="56">
        <f t="shared" si="36"/>
        <v>1160</v>
      </c>
      <c r="K319" s="57">
        <f t="shared" si="35"/>
        <v>435</v>
      </c>
      <c r="L319" s="45">
        <f t="shared" si="37"/>
        <v>0.34799999999999992</v>
      </c>
    </row>
    <row r="320" spans="1:12" x14ac:dyDescent="0.25">
      <c r="A320" s="41" t="s">
        <v>45</v>
      </c>
      <c r="B320" s="6">
        <v>9</v>
      </c>
      <c r="C320" s="6" t="str">
        <f>'[1]key drivers'!$A$27</f>
        <v>Modi</v>
      </c>
      <c r="D320" s="6" t="s">
        <v>40</v>
      </c>
      <c r="E320" s="5">
        <v>2015</v>
      </c>
      <c r="F320" s="54">
        <v>3</v>
      </c>
      <c r="G320" s="6">
        <v>1</v>
      </c>
      <c r="H320" s="6">
        <v>145</v>
      </c>
      <c r="I320" s="56">
        <v>145</v>
      </c>
      <c r="J320" s="56">
        <f t="shared" si="36"/>
        <v>1305</v>
      </c>
      <c r="K320" s="57">
        <f t="shared" si="35"/>
        <v>435</v>
      </c>
      <c r="L320" s="45">
        <f t="shared" si="37"/>
        <v>0.3914999999999999</v>
      </c>
    </row>
    <row r="321" spans="1:12" x14ac:dyDescent="0.25">
      <c r="A321" s="41" t="s">
        <v>45</v>
      </c>
      <c r="B321" s="6">
        <v>10</v>
      </c>
      <c r="C321" s="6" t="str">
        <f>'[1]key drivers'!$A$27</f>
        <v>Modi</v>
      </c>
      <c r="D321" s="6" t="s">
        <v>40</v>
      </c>
      <c r="E321" s="5">
        <v>2015</v>
      </c>
      <c r="F321" s="54">
        <v>3</v>
      </c>
      <c r="G321" s="6">
        <v>1</v>
      </c>
      <c r="H321" s="6">
        <v>145</v>
      </c>
      <c r="I321" s="56">
        <v>145</v>
      </c>
      <c r="J321" s="56">
        <f t="shared" si="36"/>
        <v>1450</v>
      </c>
      <c r="K321" s="57">
        <f t="shared" si="35"/>
        <v>435</v>
      </c>
      <c r="L321" s="45">
        <f t="shared" si="37"/>
        <v>0.43499999999999989</v>
      </c>
    </row>
    <row r="322" spans="1:12" x14ac:dyDescent="0.25">
      <c r="A322" s="41" t="s">
        <v>45</v>
      </c>
      <c r="B322" s="6">
        <v>11</v>
      </c>
      <c r="C322" s="6" t="str">
        <f>'[1]key drivers'!$A$27</f>
        <v>Modi</v>
      </c>
      <c r="D322" s="6" t="s">
        <v>40</v>
      </c>
      <c r="E322" s="5">
        <v>2015</v>
      </c>
      <c r="F322" s="54">
        <v>3</v>
      </c>
      <c r="G322" s="6">
        <v>1</v>
      </c>
      <c r="H322" s="6">
        <v>145</v>
      </c>
      <c r="I322" s="56">
        <v>145</v>
      </c>
      <c r="J322" s="56">
        <f t="shared" si="36"/>
        <v>1595</v>
      </c>
      <c r="K322" s="57">
        <f t="shared" si="35"/>
        <v>435</v>
      </c>
      <c r="L322" s="45">
        <f t="shared" si="37"/>
        <v>0.47849999999999987</v>
      </c>
    </row>
    <row r="323" spans="1:12" x14ac:dyDescent="0.25">
      <c r="A323" s="41" t="s">
        <v>45</v>
      </c>
      <c r="B323" s="6">
        <v>12</v>
      </c>
      <c r="C323" s="6" t="str">
        <f>'[1]key drivers'!$A$27</f>
        <v>Modi</v>
      </c>
      <c r="D323" s="6" t="s">
        <v>40</v>
      </c>
      <c r="E323" s="5">
        <v>2015</v>
      </c>
      <c r="F323" s="54">
        <v>3</v>
      </c>
      <c r="G323" s="6">
        <v>1</v>
      </c>
      <c r="H323" s="6">
        <v>145</v>
      </c>
      <c r="I323" s="56">
        <v>145</v>
      </c>
      <c r="J323" s="56">
        <f t="shared" si="36"/>
        <v>1740</v>
      </c>
      <c r="K323" s="57">
        <f t="shared" si="35"/>
        <v>435</v>
      </c>
      <c r="L323" s="45">
        <f t="shared" si="37"/>
        <v>0.52199999999999991</v>
      </c>
    </row>
    <row r="324" spans="1:12" x14ac:dyDescent="0.25">
      <c r="A324" s="41" t="s">
        <v>45</v>
      </c>
      <c r="B324" s="6">
        <v>13</v>
      </c>
      <c r="C324" s="6" t="str">
        <f>'[1]key drivers'!$A$27</f>
        <v>Modi</v>
      </c>
      <c r="D324" s="6" t="s">
        <v>40</v>
      </c>
      <c r="E324" s="5">
        <v>2015</v>
      </c>
      <c r="F324" s="54">
        <v>3</v>
      </c>
      <c r="G324" s="6">
        <v>1</v>
      </c>
      <c r="H324" s="6">
        <v>145</v>
      </c>
      <c r="I324" s="56">
        <v>145</v>
      </c>
      <c r="J324" s="56">
        <f t="shared" si="36"/>
        <v>1885</v>
      </c>
      <c r="K324" s="57">
        <f t="shared" si="35"/>
        <v>435</v>
      </c>
      <c r="L324" s="45">
        <f t="shared" si="37"/>
        <v>0.56549999999999989</v>
      </c>
    </row>
    <row r="325" spans="1:12" x14ac:dyDescent="0.25">
      <c r="A325" s="41" t="s">
        <v>45</v>
      </c>
      <c r="B325" s="6">
        <v>14</v>
      </c>
      <c r="C325" s="6" t="str">
        <f>'[1]key drivers'!$A$27</f>
        <v>Modi</v>
      </c>
      <c r="D325" s="6" t="s">
        <v>40</v>
      </c>
      <c r="E325" s="5">
        <v>2015</v>
      </c>
      <c r="F325" s="54">
        <v>3</v>
      </c>
      <c r="G325" s="6">
        <v>1</v>
      </c>
      <c r="H325" s="6">
        <v>145</v>
      </c>
      <c r="I325" s="56">
        <v>145</v>
      </c>
      <c r="J325" s="56">
        <f t="shared" si="36"/>
        <v>2030</v>
      </c>
      <c r="K325" s="57">
        <f t="shared" si="35"/>
        <v>435</v>
      </c>
      <c r="L325" s="45">
        <f t="shared" si="37"/>
        <v>0.60899999999999987</v>
      </c>
    </row>
    <row r="326" spans="1:12" x14ac:dyDescent="0.25">
      <c r="A326" s="41" t="s">
        <v>45</v>
      </c>
      <c r="B326" s="6">
        <v>15</v>
      </c>
      <c r="C326" s="6" t="str">
        <f>'[1]key drivers'!$A$27</f>
        <v>Modi</v>
      </c>
      <c r="D326" s="6" t="s">
        <v>40</v>
      </c>
      <c r="E326" s="5">
        <v>2015</v>
      </c>
      <c r="F326" s="54">
        <v>3</v>
      </c>
      <c r="G326" s="6">
        <v>1</v>
      </c>
      <c r="H326" s="6">
        <v>145</v>
      </c>
      <c r="I326" s="56">
        <v>145</v>
      </c>
      <c r="J326" s="56">
        <f t="shared" si="36"/>
        <v>2175</v>
      </c>
      <c r="K326" s="57">
        <f t="shared" si="35"/>
        <v>435</v>
      </c>
      <c r="L326" s="45">
        <f t="shared" si="37"/>
        <v>0.65249999999999986</v>
      </c>
    </row>
    <row r="327" spans="1:12" x14ac:dyDescent="0.25">
      <c r="A327" s="41" t="s">
        <v>45</v>
      </c>
      <c r="B327" s="6">
        <v>16</v>
      </c>
      <c r="C327" s="6" t="str">
        <f>'[1]key drivers'!$A$27</f>
        <v>Modi</v>
      </c>
      <c r="D327" s="6" t="s">
        <v>40</v>
      </c>
      <c r="E327" s="5">
        <v>2015</v>
      </c>
      <c r="F327" s="54">
        <v>3</v>
      </c>
      <c r="G327" s="6">
        <v>1</v>
      </c>
      <c r="H327" s="6">
        <v>145</v>
      </c>
      <c r="I327" s="56">
        <v>145</v>
      </c>
      <c r="J327" s="56">
        <f>J326+I327</f>
        <v>2320</v>
      </c>
      <c r="K327" s="57">
        <f t="shared" si="35"/>
        <v>435</v>
      </c>
      <c r="L327" s="45">
        <f>(K327/10000)+L326</f>
        <v>0.69599999999999984</v>
      </c>
    </row>
    <row r="328" spans="1:12" x14ac:dyDescent="0.25">
      <c r="A328" s="41" t="s">
        <v>45</v>
      </c>
      <c r="B328" s="6">
        <v>17</v>
      </c>
      <c r="C328" s="6" t="str">
        <f>'[1]key drivers'!$A$27</f>
        <v>Modi</v>
      </c>
      <c r="D328" s="6" t="s">
        <v>40</v>
      </c>
      <c r="E328" s="5">
        <v>2015</v>
      </c>
      <c r="F328" s="54">
        <v>3</v>
      </c>
      <c r="G328" s="6">
        <v>1</v>
      </c>
      <c r="H328" s="6">
        <v>145</v>
      </c>
      <c r="I328" s="56">
        <v>145</v>
      </c>
      <c r="J328" s="56">
        <f t="shared" si="36"/>
        <v>2465</v>
      </c>
      <c r="K328" s="57">
        <f t="shared" si="35"/>
        <v>435</v>
      </c>
      <c r="L328" s="45">
        <f t="shared" si="37"/>
        <v>0.73949999999999982</v>
      </c>
    </row>
    <row r="329" spans="1:12" x14ac:dyDescent="0.25">
      <c r="A329" s="41" t="s">
        <v>45</v>
      </c>
      <c r="B329" s="6">
        <v>18</v>
      </c>
      <c r="C329" s="6" t="str">
        <f>'[1]key drivers'!$A$27</f>
        <v>Modi</v>
      </c>
      <c r="D329" s="6" t="s">
        <v>40</v>
      </c>
      <c r="E329" s="5">
        <v>2015</v>
      </c>
      <c r="F329" s="54">
        <v>3</v>
      </c>
      <c r="G329" s="6">
        <v>1</v>
      </c>
      <c r="H329" s="6">
        <v>145</v>
      </c>
      <c r="I329" s="56">
        <v>145</v>
      </c>
      <c r="J329" s="56">
        <f t="shared" si="36"/>
        <v>2610</v>
      </c>
      <c r="K329" s="57">
        <f t="shared" si="35"/>
        <v>435</v>
      </c>
      <c r="L329" s="45">
        <f t="shared" si="37"/>
        <v>0.78299999999999981</v>
      </c>
    </row>
    <row r="330" spans="1:12" x14ac:dyDescent="0.25">
      <c r="A330" s="41" t="s">
        <v>45</v>
      </c>
      <c r="B330" s="6">
        <v>19</v>
      </c>
      <c r="C330" s="6" t="str">
        <f>'[1]key drivers'!$A$27</f>
        <v>Modi</v>
      </c>
      <c r="D330" s="6" t="s">
        <v>40</v>
      </c>
      <c r="E330" s="5">
        <v>2015</v>
      </c>
      <c r="F330" s="54">
        <v>3</v>
      </c>
      <c r="G330" s="6">
        <v>1</v>
      </c>
      <c r="H330" s="6">
        <v>145</v>
      </c>
      <c r="I330" s="56">
        <v>145</v>
      </c>
      <c r="J330" s="56">
        <f t="shared" si="36"/>
        <v>2755</v>
      </c>
      <c r="K330" s="57">
        <f t="shared" si="35"/>
        <v>435</v>
      </c>
      <c r="L330" s="45">
        <f t="shared" si="37"/>
        <v>0.82649999999999979</v>
      </c>
    </row>
    <row r="331" spans="1:12" x14ac:dyDescent="0.25">
      <c r="A331" s="41" t="s">
        <v>45</v>
      </c>
      <c r="B331" s="6">
        <v>20</v>
      </c>
      <c r="C331" s="6" t="str">
        <f>'[1]key drivers'!$A$27</f>
        <v>Modi</v>
      </c>
      <c r="D331" s="6" t="s">
        <v>40</v>
      </c>
      <c r="E331" s="5">
        <v>2015</v>
      </c>
      <c r="F331" s="54">
        <v>3</v>
      </c>
      <c r="G331" s="6">
        <v>1</v>
      </c>
      <c r="H331" s="6">
        <v>145</v>
      </c>
      <c r="I331" s="56">
        <v>145</v>
      </c>
      <c r="J331" s="56">
        <f t="shared" si="36"/>
        <v>2900</v>
      </c>
      <c r="K331" s="57">
        <f t="shared" si="35"/>
        <v>435</v>
      </c>
      <c r="L331" s="45">
        <f t="shared" si="37"/>
        <v>0.86999999999999977</v>
      </c>
    </row>
    <row r="332" spans="1:12" x14ac:dyDescent="0.25">
      <c r="A332" s="41" t="s">
        <v>45</v>
      </c>
      <c r="B332" s="6">
        <v>21</v>
      </c>
      <c r="C332" s="6" t="str">
        <f>'[1]key drivers'!$A$27</f>
        <v>Modi</v>
      </c>
      <c r="D332" s="6" t="s">
        <v>40</v>
      </c>
      <c r="E332" s="5">
        <v>2015</v>
      </c>
      <c r="F332" s="54">
        <v>3</v>
      </c>
      <c r="G332" s="6">
        <v>1</v>
      </c>
      <c r="H332" s="6">
        <v>145</v>
      </c>
      <c r="I332" s="56">
        <v>145</v>
      </c>
      <c r="J332" s="56">
        <f t="shared" si="36"/>
        <v>3045</v>
      </c>
      <c r="K332" s="57">
        <f t="shared" si="35"/>
        <v>435</v>
      </c>
      <c r="L332" s="45">
        <f t="shared" si="37"/>
        <v>0.91349999999999976</v>
      </c>
    </row>
    <row r="333" spans="1:12" x14ac:dyDescent="0.25">
      <c r="A333" s="41" t="s">
        <v>45</v>
      </c>
      <c r="B333" s="6">
        <v>22</v>
      </c>
      <c r="C333" s="6" t="str">
        <f>'[1]key drivers'!$A$27</f>
        <v>Modi</v>
      </c>
      <c r="D333" s="6" t="s">
        <v>40</v>
      </c>
      <c r="E333" s="5">
        <v>2015</v>
      </c>
      <c r="F333" s="54">
        <v>3</v>
      </c>
      <c r="G333" s="6">
        <v>1</v>
      </c>
      <c r="H333" s="6">
        <v>145</v>
      </c>
      <c r="I333" s="56">
        <v>145</v>
      </c>
      <c r="J333" s="56">
        <f t="shared" si="36"/>
        <v>3190</v>
      </c>
      <c r="K333" s="57">
        <f t="shared" si="35"/>
        <v>435</v>
      </c>
      <c r="L333" s="45">
        <f t="shared" si="37"/>
        <v>0.95699999999999974</v>
      </c>
    </row>
    <row r="334" spans="1:12" x14ac:dyDescent="0.25">
      <c r="A334" s="41" t="s">
        <v>45</v>
      </c>
      <c r="B334" s="6">
        <v>23</v>
      </c>
      <c r="C334" s="6" t="str">
        <f>'[1]key drivers'!$A$27</f>
        <v>Modi</v>
      </c>
      <c r="D334" s="6" t="s">
        <v>40</v>
      </c>
      <c r="E334" s="5">
        <v>2015</v>
      </c>
      <c r="F334" s="54">
        <v>3</v>
      </c>
      <c r="G334" s="6">
        <v>1</v>
      </c>
      <c r="H334" s="6">
        <v>145</v>
      </c>
      <c r="I334" s="56">
        <v>145</v>
      </c>
      <c r="J334" s="56">
        <f t="shared" si="36"/>
        <v>3335</v>
      </c>
      <c r="K334" s="57">
        <f t="shared" si="35"/>
        <v>435</v>
      </c>
      <c r="L334" s="45">
        <f t="shared" si="37"/>
        <v>1.0004999999999997</v>
      </c>
    </row>
    <row r="335" spans="1:12" x14ac:dyDescent="0.25">
      <c r="A335" s="41" t="s">
        <v>45</v>
      </c>
      <c r="B335" s="6">
        <v>24</v>
      </c>
      <c r="C335" s="6" t="str">
        <f>'[1]key drivers'!$A$27</f>
        <v>Modi</v>
      </c>
      <c r="D335" s="6" t="s">
        <v>40</v>
      </c>
      <c r="E335" s="5">
        <v>2015</v>
      </c>
      <c r="F335" s="54">
        <v>3</v>
      </c>
      <c r="G335" s="6">
        <v>1</v>
      </c>
      <c r="H335" s="6">
        <v>145</v>
      </c>
      <c r="I335" s="56">
        <v>145</v>
      </c>
      <c r="J335" s="56">
        <f t="shared" si="36"/>
        <v>3480</v>
      </c>
      <c r="K335" s="57">
        <f t="shared" si="35"/>
        <v>435</v>
      </c>
      <c r="L335" s="45">
        <f t="shared" si="37"/>
        <v>1.0439999999999998</v>
      </c>
    </row>
    <row r="336" spans="1:12" x14ac:dyDescent="0.25">
      <c r="A336" s="41" t="s">
        <v>45</v>
      </c>
      <c r="B336" s="6">
        <v>25</v>
      </c>
      <c r="C336" s="6" t="str">
        <f>'[1]key drivers'!$A$27</f>
        <v>Modi</v>
      </c>
      <c r="D336" s="6" t="s">
        <v>40</v>
      </c>
      <c r="E336" s="5">
        <v>2015</v>
      </c>
      <c r="F336" s="54">
        <v>3</v>
      </c>
      <c r="G336" s="6">
        <v>1</v>
      </c>
      <c r="H336" s="6">
        <v>45</v>
      </c>
      <c r="I336" s="56">
        <v>45</v>
      </c>
      <c r="J336" s="56">
        <f t="shared" si="36"/>
        <v>3525</v>
      </c>
      <c r="K336" s="57">
        <f t="shared" si="35"/>
        <v>135</v>
      </c>
      <c r="L336" s="45">
        <f t="shared" si="37"/>
        <v>1.0574999999999999</v>
      </c>
    </row>
    <row r="337" spans="1:12" x14ac:dyDescent="0.25">
      <c r="A337" s="41" t="s">
        <v>45</v>
      </c>
      <c r="B337" s="6">
        <v>25</v>
      </c>
      <c r="C337" s="6" t="str">
        <f>'[1]key drivers'!$A$27</f>
        <v>Modi</v>
      </c>
      <c r="D337" s="6" t="s">
        <v>46</v>
      </c>
      <c r="E337" s="5">
        <v>2015</v>
      </c>
      <c r="F337" s="54">
        <v>3</v>
      </c>
      <c r="G337" s="6">
        <v>1</v>
      </c>
      <c r="H337" s="6">
        <v>100</v>
      </c>
      <c r="I337" s="56">
        <v>100</v>
      </c>
      <c r="J337" s="56">
        <f t="shared" si="36"/>
        <v>3625</v>
      </c>
      <c r="K337" s="57">
        <f t="shared" si="35"/>
        <v>300</v>
      </c>
      <c r="L337" s="45">
        <f t="shared" si="37"/>
        <v>1.0874999999999999</v>
      </c>
    </row>
    <row r="338" spans="1:12" x14ac:dyDescent="0.25">
      <c r="B338" s="17"/>
      <c r="G338" s="17"/>
      <c r="I338" s="32"/>
      <c r="J338" s="32"/>
      <c r="K338" s="33"/>
    </row>
    <row r="339" spans="1:12" x14ac:dyDescent="0.25">
      <c r="A339" s="41" t="s">
        <v>47</v>
      </c>
      <c r="B339" s="6">
        <v>1</v>
      </c>
      <c r="C339" s="6" t="str">
        <f>'[1]key drivers'!$A$27</f>
        <v>Modi</v>
      </c>
      <c r="D339" s="6" t="s">
        <v>46</v>
      </c>
      <c r="E339" s="5">
        <v>2016</v>
      </c>
      <c r="F339" s="54">
        <v>3</v>
      </c>
      <c r="G339" s="6">
        <v>1</v>
      </c>
      <c r="H339" s="30">
        <v>130</v>
      </c>
      <c r="I339" s="9">
        <v>130.5</v>
      </c>
      <c r="J339" s="58">
        <f>I339</f>
        <v>130.5</v>
      </c>
      <c r="K339" s="57">
        <f>F339*I339</f>
        <v>391.5</v>
      </c>
      <c r="L339" s="45">
        <f>K339/10000</f>
        <v>3.9149999999999997E-2</v>
      </c>
    </row>
    <row r="340" spans="1:12" x14ac:dyDescent="0.25">
      <c r="A340" s="41" t="s">
        <v>47</v>
      </c>
      <c r="B340" s="6">
        <v>2</v>
      </c>
      <c r="C340" s="6" t="str">
        <f>'[1]key drivers'!$A$27</f>
        <v>Modi</v>
      </c>
      <c r="D340" s="6" t="s">
        <v>46</v>
      </c>
      <c r="E340" s="5">
        <v>2016</v>
      </c>
      <c r="F340" s="54">
        <v>3</v>
      </c>
      <c r="G340" s="6">
        <v>1</v>
      </c>
      <c r="H340" s="30">
        <v>130</v>
      </c>
      <c r="I340" s="9">
        <v>130.5</v>
      </c>
      <c r="J340" s="56">
        <f>J339+I340</f>
        <v>261</v>
      </c>
      <c r="K340" s="57">
        <f t="shared" ref="K340:K364" si="38">F340*I340</f>
        <v>391.5</v>
      </c>
      <c r="L340" s="45">
        <f>(K340/10000)+L339</f>
        <v>7.8299999999999995E-2</v>
      </c>
    </row>
    <row r="341" spans="1:12" x14ac:dyDescent="0.25">
      <c r="A341" s="41" t="s">
        <v>47</v>
      </c>
      <c r="B341" s="6">
        <v>3</v>
      </c>
      <c r="C341" s="6" t="str">
        <f>'[1]key drivers'!$A$27</f>
        <v>Modi</v>
      </c>
      <c r="D341" s="6" t="s">
        <v>46</v>
      </c>
      <c r="E341" s="5">
        <v>2016</v>
      </c>
      <c r="F341" s="54">
        <v>3</v>
      </c>
      <c r="G341" s="6">
        <v>1</v>
      </c>
      <c r="H341" s="30">
        <v>130</v>
      </c>
      <c r="I341" s="9">
        <v>130.5</v>
      </c>
      <c r="J341" s="56">
        <f t="shared" ref="J341:J364" si="39">J340+I341</f>
        <v>391.5</v>
      </c>
      <c r="K341" s="57">
        <f t="shared" si="38"/>
        <v>391.5</v>
      </c>
      <c r="L341" s="45">
        <f t="shared" ref="L341:L364" si="40">(K341/10000)+L340</f>
        <v>0.11745</v>
      </c>
    </row>
    <row r="342" spans="1:12" x14ac:dyDescent="0.25">
      <c r="A342" s="41" t="s">
        <v>47</v>
      </c>
      <c r="B342" s="6">
        <v>4</v>
      </c>
      <c r="C342" s="6" t="str">
        <f>'[1]key drivers'!$A$27</f>
        <v>Modi</v>
      </c>
      <c r="D342" s="6" t="s">
        <v>46</v>
      </c>
      <c r="E342" s="5">
        <v>2016</v>
      </c>
      <c r="F342" s="54">
        <v>3</v>
      </c>
      <c r="G342" s="6">
        <v>1</v>
      </c>
      <c r="H342" s="30">
        <v>130</v>
      </c>
      <c r="I342" s="9">
        <v>130.5</v>
      </c>
      <c r="J342" s="56">
        <f t="shared" si="39"/>
        <v>522</v>
      </c>
      <c r="K342" s="57">
        <f t="shared" si="38"/>
        <v>391.5</v>
      </c>
      <c r="L342" s="45">
        <f t="shared" si="40"/>
        <v>0.15659999999999999</v>
      </c>
    </row>
    <row r="343" spans="1:12" x14ac:dyDescent="0.25">
      <c r="A343" s="41" t="s">
        <v>47</v>
      </c>
      <c r="B343" s="6">
        <v>5</v>
      </c>
      <c r="C343" s="6" t="str">
        <f>'[1]key drivers'!$A$27</f>
        <v>Modi</v>
      </c>
      <c r="D343" s="6" t="s">
        <v>46</v>
      </c>
      <c r="E343" s="5">
        <v>2016</v>
      </c>
      <c r="F343" s="54">
        <v>3</v>
      </c>
      <c r="G343" s="6">
        <v>1</v>
      </c>
      <c r="H343" s="30">
        <v>130</v>
      </c>
      <c r="I343" s="9">
        <v>130.5</v>
      </c>
      <c r="J343" s="56">
        <f t="shared" si="39"/>
        <v>652.5</v>
      </c>
      <c r="K343" s="57">
        <f t="shared" si="38"/>
        <v>391.5</v>
      </c>
      <c r="L343" s="45">
        <f t="shared" si="40"/>
        <v>0.19574999999999998</v>
      </c>
    </row>
    <row r="344" spans="1:12" x14ac:dyDescent="0.25">
      <c r="A344" s="41" t="s">
        <v>47</v>
      </c>
      <c r="B344" s="6">
        <v>6</v>
      </c>
      <c r="C344" s="6" t="str">
        <f>'[1]key drivers'!$A$27</f>
        <v>Modi</v>
      </c>
      <c r="D344" s="6" t="s">
        <v>46</v>
      </c>
      <c r="E344" s="5">
        <v>2016</v>
      </c>
      <c r="F344" s="54">
        <v>3</v>
      </c>
      <c r="G344" s="6">
        <v>1</v>
      </c>
      <c r="H344" s="30">
        <v>130</v>
      </c>
      <c r="I344" s="9">
        <v>130.5</v>
      </c>
      <c r="J344" s="56">
        <f t="shared" si="39"/>
        <v>783</v>
      </c>
      <c r="K344" s="57">
        <f t="shared" si="38"/>
        <v>391.5</v>
      </c>
      <c r="L344" s="45">
        <f t="shared" si="40"/>
        <v>0.23489999999999997</v>
      </c>
    </row>
    <row r="345" spans="1:12" x14ac:dyDescent="0.25">
      <c r="A345" s="41" t="s">
        <v>47</v>
      </c>
      <c r="B345" s="6">
        <v>7</v>
      </c>
      <c r="C345" s="6" t="str">
        <f>'[1]key drivers'!$A$27</f>
        <v>Modi</v>
      </c>
      <c r="D345" s="6" t="s">
        <v>46</v>
      </c>
      <c r="E345" s="5">
        <v>2016</v>
      </c>
      <c r="F345" s="54">
        <v>3</v>
      </c>
      <c r="G345" s="6">
        <v>1</v>
      </c>
      <c r="H345" s="30">
        <v>130</v>
      </c>
      <c r="I345" s="9">
        <v>130.5</v>
      </c>
      <c r="J345" s="56">
        <f t="shared" si="39"/>
        <v>913.5</v>
      </c>
      <c r="K345" s="57">
        <f t="shared" si="38"/>
        <v>391.5</v>
      </c>
      <c r="L345" s="45">
        <f t="shared" si="40"/>
        <v>0.27404999999999996</v>
      </c>
    </row>
    <row r="346" spans="1:12" x14ac:dyDescent="0.25">
      <c r="A346" s="41" t="s">
        <v>47</v>
      </c>
      <c r="B346" s="6">
        <v>8</v>
      </c>
      <c r="C346" s="6" t="str">
        <f>'[1]key drivers'!$A$27</f>
        <v>Modi</v>
      </c>
      <c r="D346" s="6" t="s">
        <v>46</v>
      </c>
      <c r="E346" s="5">
        <v>2016</v>
      </c>
      <c r="F346" s="54">
        <v>3</v>
      </c>
      <c r="G346" s="6">
        <v>1</v>
      </c>
      <c r="H346" s="30">
        <v>130</v>
      </c>
      <c r="I346" s="9">
        <v>130.5</v>
      </c>
      <c r="J346" s="56">
        <f t="shared" si="39"/>
        <v>1044</v>
      </c>
      <c r="K346" s="57">
        <f t="shared" si="38"/>
        <v>391.5</v>
      </c>
      <c r="L346" s="45">
        <f t="shared" si="40"/>
        <v>0.31319999999999998</v>
      </c>
    </row>
    <row r="347" spans="1:12" x14ac:dyDescent="0.25">
      <c r="A347" s="41" t="s">
        <v>47</v>
      </c>
      <c r="B347" s="6">
        <v>9</v>
      </c>
      <c r="C347" s="6" t="str">
        <f>'[1]key drivers'!$A$27</f>
        <v>Modi</v>
      </c>
      <c r="D347" s="6" t="s">
        <v>46</v>
      </c>
      <c r="E347" s="5">
        <v>2016</v>
      </c>
      <c r="F347" s="54">
        <v>3</v>
      </c>
      <c r="G347" s="6">
        <v>1</v>
      </c>
      <c r="H347" s="30">
        <v>130</v>
      </c>
      <c r="I347" s="9">
        <v>130.5</v>
      </c>
      <c r="J347" s="56">
        <f t="shared" si="39"/>
        <v>1174.5</v>
      </c>
      <c r="K347" s="57">
        <f t="shared" si="38"/>
        <v>391.5</v>
      </c>
      <c r="L347" s="45">
        <f t="shared" si="40"/>
        <v>0.35235</v>
      </c>
    </row>
    <row r="348" spans="1:12" x14ac:dyDescent="0.25">
      <c r="A348" s="41" t="s">
        <v>47</v>
      </c>
      <c r="B348" s="6">
        <v>10</v>
      </c>
      <c r="C348" s="6" t="str">
        <f>'[1]key drivers'!$A$27</f>
        <v>Modi</v>
      </c>
      <c r="D348" s="6" t="s">
        <v>46</v>
      </c>
      <c r="E348" s="5">
        <v>2016</v>
      </c>
      <c r="F348" s="54">
        <v>3</v>
      </c>
      <c r="G348" s="6">
        <v>1</v>
      </c>
      <c r="H348" s="30">
        <v>130</v>
      </c>
      <c r="I348" s="9">
        <v>130.5</v>
      </c>
      <c r="J348" s="56">
        <f t="shared" si="39"/>
        <v>1305</v>
      </c>
      <c r="K348" s="57">
        <f t="shared" si="38"/>
        <v>391.5</v>
      </c>
      <c r="L348" s="45">
        <f t="shared" si="40"/>
        <v>0.39150000000000001</v>
      </c>
    </row>
    <row r="349" spans="1:12" x14ac:dyDescent="0.25">
      <c r="A349" s="41" t="s">
        <v>47</v>
      </c>
      <c r="B349" s="6">
        <v>11</v>
      </c>
      <c r="C349" s="6" t="str">
        <f>'[1]key drivers'!$A$27</f>
        <v>Modi</v>
      </c>
      <c r="D349" s="6" t="s">
        <v>46</v>
      </c>
      <c r="E349" s="5">
        <v>2016</v>
      </c>
      <c r="F349" s="54">
        <v>3</v>
      </c>
      <c r="G349" s="6">
        <v>1</v>
      </c>
      <c r="H349" s="30">
        <v>130</v>
      </c>
      <c r="I349" s="9">
        <v>130.5</v>
      </c>
      <c r="J349" s="56">
        <f t="shared" si="39"/>
        <v>1435.5</v>
      </c>
      <c r="K349" s="57">
        <f t="shared" si="38"/>
        <v>391.5</v>
      </c>
      <c r="L349" s="45">
        <f t="shared" si="40"/>
        <v>0.43065000000000003</v>
      </c>
    </row>
    <row r="350" spans="1:12" x14ac:dyDescent="0.25">
      <c r="A350" s="41" t="s">
        <v>47</v>
      </c>
      <c r="B350" s="6">
        <v>12</v>
      </c>
      <c r="C350" s="6" t="str">
        <f>'[1]key drivers'!$A$27</f>
        <v>Modi</v>
      </c>
      <c r="D350" s="6" t="s">
        <v>46</v>
      </c>
      <c r="E350" s="5">
        <v>2016</v>
      </c>
      <c r="F350" s="54">
        <v>3</v>
      </c>
      <c r="G350" s="6">
        <v>1</v>
      </c>
      <c r="H350" s="30">
        <v>130</v>
      </c>
      <c r="I350" s="9">
        <v>130.5</v>
      </c>
      <c r="J350" s="56">
        <f t="shared" si="39"/>
        <v>1566</v>
      </c>
      <c r="K350" s="57">
        <f t="shared" si="38"/>
        <v>391.5</v>
      </c>
      <c r="L350" s="45">
        <f t="shared" si="40"/>
        <v>0.46980000000000005</v>
      </c>
    </row>
    <row r="351" spans="1:12" x14ac:dyDescent="0.25">
      <c r="A351" s="41" t="s">
        <v>47</v>
      </c>
      <c r="B351" s="6">
        <v>13</v>
      </c>
      <c r="C351" s="6" t="str">
        <f>'[1]key drivers'!$A$27</f>
        <v>Modi</v>
      </c>
      <c r="D351" s="6" t="s">
        <v>46</v>
      </c>
      <c r="E351" s="5">
        <v>2016</v>
      </c>
      <c r="F351" s="54">
        <v>3</v>
      </c>
      <c r="G351" s="6">
        <v>1</v>
      </c>
      <c r="H351" s="30">
        <v>130</v>
      </c>
      <c r="I351" s="9">
        <v>130.5</v>
      </c>
      <c r="J351" s="56">
        <f t="shared" si="39"/>
        <v>1696.5</v>
      </c>
      <c r="K351" s="57">
        <f t="shared" si="38"/>
        <v>391.5</v>
      </c>
      <c r="L351" s="45">
        <f t="shared" si="40"/>
        <v>0.50895000000000001</v>
      </c>
    </row>
    <row r="352" spans="1:12" x14ac:dyDescent="0.25">
      <c r="A352" s="41" t="s">
        <v>47</v>
      </c>
      <c r="B352" s="6">
        <v>14</v>
      </c>
      <c r="C352" s="6" t="str">
        <f>'[1]key drivers'!$A$27</f>
        <v>Modi</v>
      </c>
      <c r="D352" s="6" t="s">
        <v>46</v>
      </c>
      <c r="E352" s="5">
        <v>2016</v>
      </c>
      <c r="F352" s="54">
        <v>3</v>
      </c>
      <c r="G352" s="6">
        <v>1</v>
      </c>
      <c r="H352" s="30">
        <v>130</v>
      </c>
      <c r="I352" s="9">
        <v>130.5</v>
      </c>
      <c r="J352" s="56">
        <f t="shared" si="39"/>
        <v>1827</v>
      </c>
      <c r="K352" s="57">
        <f t="shared" si="38"/>
        <v>391.5</v>
      </c>
      <c r="L352" s="45">
        <f t="shared" si="40"/>
        <v>0.54810000000000003</v>
      </c>
    </row>
    <row r="353" spans="1:12" x14ac:dyDescent="0.25">
      <c r="A353" s="41" t="s">
        <v>47</v>
      </c>
      <c r="B353" s="6">
        <v>15</v>
      </c>
      <c r="C353" s="6" t="str">
        <f>'[1]key drivers'!$A$27</f>
        <v>Modi</v>
      </c>
      <c r="D353" s="6" t="s">
        <v>46</v>
      </c>
      <c r="E353" s="5">
        <v>2016</v>
      </c>
      <c r="F353" s="54">
        <v>3</v>
      </c>
      <c r="G353" s="6">
        <v>1</v>
      </c>
      <c r="H353" s="30">
        <v>130</v>
      </c>
      <c r="I353" s="9">
        <v>130.5</v>
      </c>
      <c r="J353" s="56">
        <f t="shared" si="39"/>
        <v>1957.5</v>
      </c>
      <c r="K353" s="57">
        <f t="shared" si="38"/>
        <v>391.5</v>
      </c>
      <c r="L353" s="45">
        <f t="shared" si="40"/>
        <v>0.58725000000000005</v>
      </c>
    </row>
    <row r="354" spans="1:12" x14ac:dyDescent="0.25">
      <c r="A354" s="41" t="s">
        <v>47</v>
      </c>
      <c r="B354" s="6">
        <v>16</v>
      </c>
      <c r="C354" s="6" t="str">
        <f>'[1]key drivers'!$A$27</f>
        <v>Modi</v>
      </c>
      <c r="D354" s="6" t="s">
        <v>46</v>
      </c>
      <c r="E354" s="5">
        <v>2016</v>
      </c>
      <c r="F354" s="54">
        <v>3</v>
      </c>
      <c r="G354" s="6">
        <v>1</v>
      </c>
      <c r="H354" s="30">
        <v>130</v>
      </c>
      <c r="I354" s="9">
        <v>130.5</v>
      </c>
      <c r="J354" s="56">
        <f t="shared" si="39"/>
        <v>2088</v>
      </c>
      <c r="K354" s="57">
        <f t="shared" si="38"/>
        <v>391.5</v>
      </c>
      <c r="L354" s="45">
        <f t="shared" si="40"/>
        <v>0.62640000000000007</v>
      </c>
    </row>
    <row r="355" spans="1:12" x14ac:dyDescent="0.25">
      <c r="A355" s="41" t="s">
        <v>47</v>
      </c>
      <c r="B355" s="6">
        <v>17</v>
      </c>
      <c r="C355" s="6" t="str">
        <f>'[1]key drivers'!$A$27</f>
        <v>Modi</v>
      </c>
      <c r="D355" s="6" t="s">
        <v>46</v>
      </c>
      <c r="E355" s="5">
        <v>2016</v>
      </c>
      <c r="F355" s="54">
        <v>3</v>
      </c>
      <c r="G355" s="6">
        <v>1</v>
      </c>
      <c r="H355" s="30">
        <v>130</v>
      </c>
      <c r="I355" s="9">
        <v>130.5</v>
      </c>
      <c r="J355" s="56">
        <f t="shared" si="39"/>
        <v>2218.5</v>
      </c>
      <c r="K355" s="57">
        <f t="shared" si="38"/>
        <v>391.5</v>
      </c>
      <c r="L355" s="45">
        <f t="shared" si="40"/>
        <v>0.66555000000000009</v>
      </c>
    </row>
    <row r="356" spans="1:12" x14ac:dyDescent="0.25">
      <c r="A356" s="41" t="s">
        <v>47</v>
      </c>
      <c r="B356" s="6">
        <v>18</v>
      </c>
      <c r="C356" s="6" t="str">
        <f>'[1]key drivers'!$A$27</f>
        <v>Modi</v>
      </c>
      <c r="D356" s="6" t="s">
        <v>46</v>
      </c>
      <c r="E356" s="5">
        <v>2016</v>
      </c>
      <c r="F356" s="54">
        <v>3</v>
      </c>
      <c r="G356" s="6">
        <v>1</v>
      </c>
      <c r="H356" s="30">
        <v>130</v>
      </c>
      <c r="I356" s="9">
        <v>130.5</v>
      </c>
      <c r="J356" s="56">
        <f t="shared" si="39"/>
        <v>2349</v>
      </c>
      <c r="K356" s="57">
        <f t="shared" si="38"/>
        <v>391.5</v>
      </c>
      <c r="L356" s="45">
        <f t="shared" si="40"/>
        <v>0.7047000000000001</v>
      </c>
    </row>
    <row r="357" spans="1:12" x14ac:dyDescent="0.25">
      <c r="A357" s="41" t="s">
        <v>47</v>
      </c>
      <c r="B357" s="6">
        <v>19</v>
      </c>
      <c r="C357" s="6" t="str">
        <f>'[1]key drivers'!$A$27</f>
        <v>Modi</v>
      </c>
      <c r="D357" s="6" t="s">
        <v>46</v>
      </c>
      <c r="E357" s="5">
        <v>2016</v>
      </c>
      <c r="F357" s="54">
        <v>3</v>
      </c>
      <c r="G357" s="6">
        <v>1</v>
      </c>
      <c r="H357" s="30">
        <v>130</v>
      </c>
      <c r="I357" s="9">
        <v>130.5</v>
      </c>
      <c r="J357" s="56">
        <f t="shared" si="39"/>
        <v>2479.5</v>
      </c>
      <c r="K357" s="57">
        <f t="shared" si="38"/>
        <v>391.5</v>
      </c>
      <c r="L357" s="45">
        <f t="shared" si="40"/>
        <v>0.74385000000000012</v>
      </c>
    </row>
    <row r="358" spans="1:12" x14ac:dyDescent="0.25">
      <c r="A358" s="41" t="s">
        <v>47</v>
      </c>
      <c r="B358" s="6">
        <v>20</v>
      </c>
      <c r="C358" s="6" t="str">
        <f>'[1]key drivers'!$A$27</f>
        <v>Modi</v>
      </c>
      <c r="D358" s="6" t="s">
        <v>46</v>
      </c>
      <c r="E358" s="5">
        <v>2016</v>
      </c>
      <c r="F358" s="54">
        <v>3</v>
      </c>
      <c r="G358" s="6">
        <v>1</v>
      </c>
      <c r="H358" s="30">
        <v>130</v>
      </c>
      <c r="I358" s="9">
        <v>130.5</v>
      </c>
      <c r="J358" s="56">
        <f t="shared" si="39"/>
        <v>2610</v>
      </c>
      <c r="K358" s="57">
        <f t="shared" si="38"/>
        <v>391.5</v>
      </c>
      <c r="L358" s="45">
        <f t="shared" si="40"/>
        <v>0.78300000000000014</v>
      </c>
    </row>
    <row r="359" spans="1:12" x14ac:dyDescent="0.25">
      <c r="A359" s="41" t="s">
        <v>47</v>
      </c>
      <c r="B359" s="6">
        <v>21</v>
      </c>
      <c r="C359" s="6" t="str">
        <f>'[1]key drivers'!$A$27</f>
        <v>Modi</v>
      </c>
      <c r="D359" s="6" t="s">
        <v>46</v>
      </c>
      <c r="E359" s="5">
        <v>2016</v>
      </c>
      <c r="F359" s="54">
        <v>3</v>
      </c>
      <c r="G359" s="6">
        <v>1</v>
      </c>
      <c r="H359" s="30">
        <v>130</v>
      </c>
      <c r="I359" s="9">
        <v>130.5</v>
      </c>
      <c r="J359" s="56">
        <f t="shared" si="39"/>
        <v>2740.5</v>
      </c>
      <c r="K359" s="57">
        <f t="shared" si="38"/>
        <v>391.5</v>
      </c>
      <c r="L359" s="45">
        <f t="shared" si="40"/>
        <v>0.82215000000000016</v>
      </c>
    </row>
    <row r="360" spans="1:12" x14ac:dyDescent="0.25">
      <c r="A360" s="41" t="s">
        <v>47</v>
      </c>
      <c r="B360" s="6">
        <v>22</v>
      </c>
      <c r="C360" s="6" t="str">
        <f>'[1]key drivers'!$A$27</f>
        <v>Modi</v>
      </c>
      <c r="D360" s="6" t="s">
        <v>46</v>
      </c>
      <c r="E360" s="5">
        <v>2016</v>
      </c>
      <c r="F360" s="54">
        <v>3</v>
      </c>
      <c r="G360" s="6">
        <v>1</v>
      </c>
      <c r="H360" s="30">
        <v>130</v>
      </c>
      <c r="I360" s="9">
        <v>130.5</v>
      </c>
      <c r="J360" s="56">
        <f t="shared" si="39"/>
        <v>2871</v>
      </c>
      <c r="K360" s="57">
        <f t="shared" si="38"/>
        <v>391.5</v>
      </c>
      <c r="L360" s="45">
        <f t="shared" si="40"/>
        <v>0.86130000000000018</v>
      </c>
    </row>
    <row r="361" spans="1:12" x14ac:dyDescent="0.25">
      <c r="A361" s="41" t="s">
        <v>47</v>
      </c>
      <c r="B361" s="6">
        <v>23</v>
      </c>
      <c r="C361" s="6" t="str">
        <f>'[1]key drivers'!$A$27</f>
        <v>Modi</v>
      </c>
      <c r="D361" s="6" t="s">
        <v>46</v>
      </c>
      <c r="E361" s="5">
        <v>2016</v>
      </c>
      <c r="F361" s="54">
        <v>3</v>
      </c>
      <c r="G361" s="6">
        <v>1</v>
      </c>
      <c r="H361" s="30">
        <v>130</v>
      </c>
      <c r="I361" s="9">
        <v>130.5</v>
      </c>
      <c r="J361" s="56">
        <f t="shared" si="39"/>
        <v>3001.5</v>
      </c>
      <c r="K361" s="57">
        <f t="shared" si="38"/>
        <v>391.5</v>
      </c>
      <c r="L361" s="45">
        <f t="shared" si="40"/>
        <v>0.90045000000000019</v>
      </c>
    </row>
    <row r="362" spans="1:12" x14ac:dyDescent="0.25">
      <c r="A362" s="41" t="s">
        <v>47</v>
      </c>
      <c r="B362" s="6">
        <v>24</v>
      </c>
      <c r="C362" s="6" t="str">
        <f>'[1]key drivers'!$A$27</f>
        <v>Modi</v>
      </c>
      <c r="D362" s="6" t="s">
        <v>46</v>
      </c>
      <c r="E362" s="5">
        <v>2016</v>
      </c>
      <c r="F362" s="54">
        <v>3</v>
      </c>
      <c r="G362" s="6">
        <v>1</v>
      </c>
      <c r="H362" s="30">
        <v>130</v>
      </c>
      <c r="I362" s="9">
        <v>130.5</v>
      </c>
      <c r="J362" s="56">
        <f t="shared" si="39"/>
        <v>3132</v>
      </c>
      <c r="K362" s="57">
        <f t="shared" si="38"/>
        <v>391.5</v>
      </c>
      <c r="L362" s="45">
        <f t="shared" si="40"/>
        <v>0.93960000000000021</v>
      </c>
    </row>
    <row r="363" spans="1:12" x14ac:dyDescent="0.25">
      <c r="A363" s="41" t="s">
        <v>47</v>
      </c>
      <c r="B363" s="6">
        <v>25</v>
      </c>
      <c r="C363" s="6" t="str">
        <f>'[1]key drivers'!$A$27</f>
        <v>Modi</v>
      </c>
      <c r="D363" s="6" t="s">
        <v>46</v>
      </c>
      <c r="E363" s="5">
        <v>2016</v>
      </c>
      <c r="F363" s="54">
        <v>3</v>
      </c>
      <c r="G363" s="6">
        <v>1</v>
      </c>
      <c r="H363" s="30">
        <v>130</v>
      </c>
      <c r="I363" s="9">
        <v>130.5</v>
      </c>
      <c r="J363" s="56">
        <f t="shared" si="39"/>
        <v>3262.5</v>
      </c>
      <c r="K363" s="57">
        <f t="shared" si="38"/>
        <v>391.5</v>
      </c>
      <c r="L363" s="45">
        <f t="shared" si="40"/>
        <v>0.97875000000000023</v>
      </c>
    </row>
    <row r="364" spans="1:12" x14ac:dyDescent="0.25">
      <c r="A364" s="41" t="s">
        <v>47</v>
      </c>
      <c r="B364" s="6">
        <v>26</v>
      </c>
      <c r="C364" s="6" t="str">
        <f>'[1]key drivers'!$A$27</f>
        <v>Modi</v>
      </c>
      <c r="D364" s="6" t="s">
        <v>46</v>
      </c>
      <c r="E364" s="5">
        <v>2016</v>
      </c>
      <c r="F364" s="54">
        <v>3</v>
      </c>
      <c r="G364" s="6">
        <v>1</v>
      </c>
      <c r="H364" s="30">
        <v>130</v>
      </c>
      <c r="I364" s="9">
        <v>130.5</v>
      </c>
      <c r="J364" s="56">
        <f t="shared" si="39"/>
        <v>3393</v>
      </c>
      <c r="K364" s="57">
        <f t="shared" si="38"/>
        <v>391.5</v>
      </c>
      <c r="L364" s="45">
        <f t="shared" si="40"/>
        <v>1.0179000000000002</v>
      </c>
    </row>
    <row r="365" spans="1:12" x14ac:dyDescent="0.25">
      <c r="B365" s="17"/>
      <c r="G365" s="17"/>
      <c r="I365" s="32"/>
      <c r="J365" s="32"/>
      <c r="K365" s="33"/>
    </row>
    <row r="366" spans="1:12" x14ac:dyDescent="0.25">
      <c r="B366" s="17"/>
      <c r="G366" s="17"/>
      <c r="I366" s="32"/>
      <c r="J366" s="32"/>
      <c r="K366" s="33"/>
    </row>
    <row r="367" spans="1:12" x14ac:dyDescent="0.25">
      <c r="A367" s="1" t="s">
        <v>48</v>
      </c>
      <c r="B367" s="17">
        <v>1</v>
      </c>
      <c r="C367" s="59" t="s">
        <v>48</v>
      </c>
      <c r="D367" s="17" t="s">
        <v>40</v>
      </c>
      <c r="E367" s="60">
        <v>2018</v>
      </c>
      <c r="F367">
        <v>3</v>
      </c>
      <c r="G367" s="17">
        <v>1</v>
      </c>
      <c r="H367" s="61">
        <v>187</v>
      </c>
      <c r="I367" s="32">
        <v>187</v>
      </c>
      <c r="J367" s="32">
        <f>I367</f>
        <v>187</v>
      </c>
      <c r="K367" s="33">
        <f>F367*I367</f>
        <v>561</v>
      </c>
      <c r="L367" s="62">
        <f>K367/10000</f>
        <v>5.6099999999999997E-2</v>
      </c>
    </row>
    <row r="368" spans="1:12" x14ac:dyDescent="0.25">
      <c r="A368" s="1" t="s">
        <v>48</v>
      </c>
      <c r="B368" s="17">
        <v>2</v>
      </c>
      <c r="C368" s="59" t="s">
        <v>48</v>
      </c>
      <c r="D368" s="17" t="s">
        <v>40</v>
      </c>
      <c r="E368" s="60">
        <v>2018</v>
      </c>
      <c r="F368">
        <v>3</v>
      </c>
      <c r="G368" s="17">
        <v>1</v>
      </c>
      <c r="H368" s="61">
        <v>187</v>
      </c>
      <c r="I368" s="32">
        <v>187</v>
      </c>
      <c r="J368" s="32">
        <f>I368+I367</f>
        <v>374</v>
      </c>
      <c r="K368" s="33">
        <f t="shared" ref="K368:K392" si="41">F368*I368</f>
        <v>561</v>
      </c>
      <c r="L368" s="62">
        <f>(K368/10000)+L367</f>
        <v>0.11219999999999999</v>
      </c>
    </row>
    <row r="369" spans="1:12" x14ac:dyDescent="0.25">
      <c r="A369" s="1" t="s">
        <v>48</v>
      </c>
      <c r="B369" s="17">
        <v>3</v>
      </c>
      <c r="C369" s="59" t="s">
        <v>48</v>
      </c>
      <c r="D369" s="17" t="s">
        <v>40</v>
      </c>
      <c r="E369" s="60">
        <v>2018</v>
      </c>
      <c r="F369">
        <v>3</v>
      </c>
      <c r="G369" s="17">
        <v>1</v>
      </c>
      <c r="H369" s="61">
        <v>187</v>
      </c>
      <c r="I369" s="32">
        <v>187</v>
      </c>
      <c r="J369" s="32">
        <f>J368+I369</f>
        <v>561</v>
      </c>
      <c r="K369" s="33">
        <f t="shared" si="41"/>
        <v>561</v>
      </c>
      <c r="L369" s="62">
        <f t="shared" ref="L369:L392" si="42">(K369/10000)+L368</f>
        <v>0.16830000000000001</v>
      </c>
    </row>
    <row r="370" spans="1:12" x14ac:dyDescent="0.25">
      <c r="A370" s="1" t="s">
        <v>48</v>
      </c>
      <c r="B370" s="17">
        <v>4</v>
      </c>
      <c r="C370" s="59" t="s">
        <v>48</v>
      </c>
      <c r="D370" s="17" t="s">
        <v>40</v>
      </c>
      <c r="E370" s="60">
        <v>2018</v>
      </c>
      <c r="F370">
        <v>3</v>
      </c>
      <c r="G370" s="17">
        <v>1</v>
      </c>
      <c r="H370" s="61">
        <v>187</v>
      </c>
      <c r="I370" s="32">
        <v>187</v>
      </c>
      <c r="J370" s="32">
        <f>I370+J369</f>
        <v>748</v>
      </c>
      <c r="K370" s="33">
        <f t="shared" si="41"/>
        <v>561</v>
      </c>
      <c r="L370" s="62">
        <f t="shared" si="42"/>
        <v>0.22439999999999999</v>
      </c>
    </row>
    <row r="371" spans="1:12" x14ac:dyDescent="0.25">
      <c r="A371" s="1" t="s">
        <v>48</v>
      </c>
      <c r="B371" s="17">
        <v>5</v>
      </c>
      <c r="C371" s="59" t="s">
        <v>48</v>
      </c>
      <c r="D371" s="17" t="s">
        <v>40</v>
      </c>
      <c r="E371" s="60">
        <v>2018</v>
      </c>
      <c r="F371">
        <v>3</v>
      </c>
      <c r="G371" s="17">
        <v>1</v>
      </c>
      <c r="H371" s="61">
        <v>187</v>
      </c>
      <c r="I371" s="32">
        <v>187</v>
      </c>
      <c r="J371" s="32">
        <f t="shared" ref="J371:J392" si="43">I371+J370</f>
        <v>935</v>
      </c>
      <c r="K371" s="33">
        <f t="shared" si="41"/>
        <v>561</v>
      </c>
      <c r="L371" s="62">
        <f t="shared" si="42"/>
        <v>0.28049999999999997</v>
      </c>
    </row>
    <row r="372" spans="1:12" x14ac:dyDescent="0.25">
      <c r="A372" s="1" t="s">
        <v>48</v>
      </c>
      <c r="B372" s="17">
        <v>6</v>
      </c>
      <c r="C372" s="59" t="s">
        <v>48</v>
      </c>
      <c r="D372" s="17" t="s">
        <v>40</v>
      </c>
      <c r="E372" s="60">
        <v>2018</v>
      </c>
      <c r="F372">
        <v>3</v>
      </c>
      <c r="G372" s="17">
        <v>1</v>
      </c>
      <c r="H372" s="61">
        <v>187</v>
      </c>
      <c r="I372" s="32">
        <v>187</v>
      </c>
      <c r="J372" s="32">
        <f t="shared" si="43"/>
        <v>1122</v>
      </c>
      <c r="K372" s="33">
        <f t="shared" si="41"/>
        <v>561</v>
      </c>
      <c r="L372" s="62">
        <f t="shared" si="42"/>
        <v>0.33659999999999995</v>
      </c>
    </row>
    <row r="373" spans="1:12" x14ac:dyDescent="0.25">
      <c r="A373" s="1" t="s">
        <v>48</v>
      </c>
      <c r="B373" s="17">
        <v>7</v>
      </c>
      <c r="C373" s="59" t="s">
        <v>48</v>
      </c>
      <c r="D373" s="17" t="s">
        <v>40</v>
      </c>
      <c r="E373" s="60">
        <v>2018</v>
      </c>
      <c r="F373">
        <v>3</v>
      </c>
      <c r="G373" s="17">
        <v>1</v>
      </c>
      <c r="H373" s="61">
        <v>187</v>
      </c>
      <c r="I373" s="32">
        <v>187</v>
      </c>
      <c r="J373" s="32">
        <f t="shared" si="43"/>
        <v>1309</v>
      </c>
      <c r="K373" s="33">
        <f t="shared" si="41"/>
        <v>561</v>
      </c>
      <c r="L373" s="62">
        <f t="shared" si="42"/>
        <v>0.39269999999999994</v>
      </c>
    </row>
    <row r="374" spans="1:12" x14ac:dyDescent="0.25">
      <c r="A374" s="1" t="s">
        <v>48</v>
      </c>
      <c r="B374" s="17">
        <v>8</v>
      </c>
      <c r="C374" s="59" t="s">
        <v>48</v>
      </c>
      <c r="D374" s="17" t="s">
        <v>40</v>
      </c>
      <c r="E374" s="60">
        <v>2018</v>
      </c>
      <c r="F374">
        <v>3</v>
      </c>
      <c r="G374" s="17">
        <v>1</v>
      </c>
      <c r="H374" s="61">
        <v>211.32</v>
      </c>
      <c r="I374" s="32">
        <v>211.32</v>
      </c>
      <c r="J374" s="32">
        <f t="shared" si="43"/>
        <v>1520.32</v>
      </c>
      <c r="K374" s="33">
        <f t="shared" si="41"/>
        <v>633.96</v>
      </c>
      <c r="L374" s="62">
        <f t="shared" si="42"/>
        <v>0.45609599999999995</v>
      </c>
    </row>
    <row r="375" spans="1:12" x14ac:dyDescent="0.25">
      <c r="A375" s="1" t="s">
        <v>48</v>
      </c>
      <c r="B375" s="17">
        <v>9</v>
      </c>
      <c r="C375" s="59" t="s">
        <v>48</v>
      </c>
      <c r="D375" s="17" t="s">
        <v>40</v>
      </c>
      <c r="E375" s="60">
        <v>2018</v>
      </c>
      <c r="F375">
        <v>3</v>
      </c>
      <c r="G375" s="17">
        <v>1</v>
      </c>
      <c r="H375" s="61">
        <v>210.08</v>
      </c>
      <c r="I375" s="32">
        <v>210.08</v>
      </c>
      <c r="J375" s="32">
        <f t="shared" si="43"/>
        <v>1730.3999999999999</v>
      </c>
      <c r="K375" s="33">
        <f t="shared" si="41"/>
        <v>630.24</v>
      </c>
      <c r="L375" s="62">
        <f t="shared" si="42"/>
        <v>0.51911999999999991</v>
      </c>
    </row>
    <row r="376" spans="1:12" x14ac:dyDescent="0.25">
      <c r="A376" s="1" t="s">
        <v>48</v>
      </c>
      <c r="B376" s="17">
        <v>10</v>
      </c>
      <c r="C376" s="59" t="s">
        <v>48</v>
      </c>
      <c r="D376" s="17" t="s">
        <v>40</v>
      </c>
      <c r="E376" s="60">
        <v>2018</v>
      </c>
      <c r="F376">
        <v>3</v>
      </c>
      <c r="G376" s="17">
        <v>1</v>
      </c>
      <c r="H376" s="61">
        <v>208.84</v>
      </c>
      <c r="I376" s="32">
        <v>208.84</v>
      </c>
      <c r="J376" s="32">
        <f t="shared" si="43"/>
        <v>1939.2399999999998</v>
      </c>
      <c r="K376" s="33">
        <f t="shared" si="41"/>
        <v>626.52</v>
      </c>
      <c r="L376" s="62">
        <f t="shared" si="42"/>
        <v>0.58177199999999996</v>
      </c>
    </row>
    <row r="377" spans="1:12" x14ac:dyDescent="0.25">
      <c r="A377" s="1" t="s">
        <v>48</v>
      </c>
      <c r="B377" s="17">
        <v>11</v>
      </c>
      <c r="C377" s="59" t="s">
        <v>48</v>
      </c>
      <c r="D377" s="17" t="s">
        <v>40</v>
      </c>
      <c r="E377" s="60">
        <v>2018</v>
      </c>
      <c r="F377">
        <v>3</v>
      </c>
      <c r="G377" s="17">
        <v>1</v>
      </c>
      <c r="H377" s="61">
        <v>207.6</v>
      </c>
      <c r="I377" s="32">
        <v>207.6</v>
      </c>
      <c r="J377" s="32">
        <f t="shared" si="43"/>
        <v>2146.8399999999997</v>
      </c>
      <c r="K377" s="33">
        <f t="shared" si="41"/>
        <v>622.79999999999995</v>
      </c>
      <c r="L377" s="62">
        <f t="shared" si="42"/>
        <v>0.64405199999999996</v>
      </c>
    </row>
    <row r="378" spans="1:12" x14ac:dyDescent="0.25">
      <c r="A378" s="1" t="s">
        <v>48</v>
      </c>
      <c r="B378" s="17">
        <v>12</v>
      </c>
      <c r="C378" s="59" t="s">
        <v>48</v>
      </c>
      <c r="D378" s="17" t="s">
        <v>40</v>
      </c>
      <c r="E378" s="60">
        <v>2018</v>
      </c>
      <c r="F378">
        <v>3</v>
      </c>
      <c r="G378" s="17">
        <v>1</v>
      </c>
      <c r="H378" s="61">
        <v>206.36</v>
      </c>
      <c r="I378" s="32">
        <v>206.36</v>
      </c>
      <c r="J378" s="32">
        <f t="shared" si="43"/>
        <v>2353.1999999999998</v>
      </c>
      <c r="K378" s="33">
        <f t="shared" si="41"/>
        <v>619.08000000000004</v>
      </c>
      <c r="L378" s="62">
        <f t="shared" si="42"/>
        <v>0.70595999999999992</v>
      </c>
    </row>
    <row r="379" spans="1:12" x14ac:dyDescent="0.25">
      <c r="A379" s="1" t="s">
        <v>48</v>
      </c>
      <c r="B379" s="17">
        <v>13</v>
      </c>
      <c r="C379" s="59" t="s">
        <v>48</v>
      </c>
      <c r="D379" s="17" t="s">
        <v>40</v>
      </c>
      <c r="E379" s="60">
        <v>2018</v>
      </c>
      <c r="F379">
        <v>3</v>
      </c>
      <c r="G379" s="17">
        <v>1</v>
      </c>
      <c r="H379" s="61">
        <v>205.12</v>
      </c>
      <c r="I379" s="32">
        <v>205.12</v>
      </c>
      <c r="J379" s="32">
        <f t="shared" si="43"/>
        <v>2558.3199999999997</v>
      </c>
      <c r="K379" s="33">
        <f t="shared" si="41"/>
        <v>615.36</v>
      </c>
      <c r="L379" s="62">
        <f t="shared" si="42"/>
        <v>0.76749599999999996</v>
      </c>
    </row>
    <row r="380" spans="1:12" x14ac:dyDescent="0.25">
      <c r="A380" s="1" t="s">
        <v>48</v>
      </c>
      <c r="B380" s="17">
        <v>14</v>
      </c>
      <c r="C380" s="59" t="s">
        <v>48</v>
      </c>
      <c r="D380" s="17" t="s">
        <v>40</v>
      </c>
      <c r="E380" s="60">
        <v>2018</v>
      </c>
      <c r="F380">
        <v>3</v>
      </c>
      <c r="G380" s="17">
        <v>1</v>
      </c>
      <c r="H380" s="61">
        <v>203.88</v>
      </c>
      <c r="I380" s="32">
        <v>203.88</v>
      </c>
      <c r="J380" s="32">
        <f t="shared" si="43"/>
        <v>2762.2</v>
      </c>
      <c r="K380" s="33">
        <f t="shared" si="41"/>
        <v>611.64</v>
      </c>
      <c r="L380" s="62">
        <f t="shared" si="42"/>
        <v>0.82865999999999995</v>
      </c>
    </row>
    <row r="381" spans="1:12" x14ac:dyDescent="0.25">
      <c r="A381" s="1" t="s">
        <v>48</v>
      </c>
      <c r="B381" s="17">
        <v>15</v>
      </c>
      <c r="C381" s="59" t="s">
        <v>48</v>
      </c>
      <c r="D381" s="17" t="s">
        <v>40</v>
      </c>
      <c r="E381" s="60">
        <v>2018</v>
      </c>
      <c r="F381">
        <v>3</v>
      </c>
      <c r="G381" s="17">
        <v>1</v>
      </c>
      <c r="H381" s="61">
        <v>202.64</v>
      </c>
      <c r="I381" s="32">
        <v>202.64</v>
      </c>
      <c r="J381" s="32">
        <f t="shared" si="43"/>
        <v>2964.8399999999997</v>
      </c>
      <c r="K381" s="33">
        <f t="shared" si="41"/>
        <v>607.91999999999996</v>
      </c>
      <c r="L381" s="62">
        <f t="shared" si="42"/>
        <v>0.88945199999999991</v>
      </c>
    </row>
    <row r="382" spans="1:12" x14ac:dyDescent="0.25">
      <c r="A382" s="1" t="s">
        <v>48</v>
      </c>
      <c r="B382" s="17">
        <v>16</v>
      </c>
      <c r="C382" s="59" t="s">
        <v>48</v>
      </c>
      <c r="D382" s="17" t="s">
        <v>40</v>
      </c>
      <c r="E382" s="60">
        <v>2018</v>
      </c>
      <c r="F382">
        <v>3</v>
      </c>
      <c r="G382" s="17">
        <v>1</v>
      </c>
      <c r="H382" s="61">
        <v>201.4</v>
      </c>
      <c r="I382" s="32">
        <v>201.4</v>
      </c>
      <c r="J382" s="32">
        <f t="shared" si="43"/>
        <v>3166.24</v>
      </c>
      <c r="K382" s="33">
        <f t="shared" si="41"/>
        <v>604.20000000000005</v>
      </c>
      <c r="L382" s="62">
        <f t="shared" si="42"/>
        <v>0.94987199999999994</v>
      </c>
    </row>
    <row r="383" spans="1:12" x14ac:dyDescent="0.25">
      <c r="A383" s="1" t="s">
        <v>48</v>
      </c>
      <c r="B383" s="17">
        <v>17</v>
      </c>
      <c r="C383" s="59" t="s">
        <v>48</v>
      </c>
      <c r="D383" s="17" t="s">
        <v>40</v>
      </c>
      <c r="E383" s="60">
        <v>2018</v>
      </c>
      <c r="F383">
        <v>3</v>
      </c>
      <c r="G383" s="17">
        <v>1</v>
      </c>
      <c r="H383" s="61">
        <v>200.16</v>
      </c>
      <c r="I383" s="32">
        <v>200.16</v>
      </c>
      <c r="J383" s="32">
        <f t="shared" si="43"/>
        <v>3366.3999999999996</v>
      </c>
      <c r="K383" s="33">
        <f t="shared" si="41"/>
        <v>600.48</v>
      </c>
      <c r="L383" s="62">
        <f t="shared" si="42"/>
        <v>1.0099199999999999</v>
      </c>
    </row>
    <row r="384" spans="1:12" x14ac:dyDescent="0.25">
      <c r="A384" s="1" t="s">
        <v>48</v>
      </c>
      <c r="B384" s="17">
        <v>18</v>
      </c>
      <c r="C384" s="59" t="s">
        <v>48</v>
      </c>
      <c r="D384" s="17" t="s">
        <v>40</v>
      </c>
      <c r="E384" s="60">
        <v>2018</v>
      </c>
      <c r="F384">
        <v>3</v>
      </c>
      <c r="G384" s="17">
        <v>1</v>
      </c>
      <c r="H384" s="61">
        <v>198.92</v>
      </c>
      <c r="I384" s="32">
        <v>198.92</v>
      </c>
      <c r="J384" s="32">
        <f t="shared" si="43"/>
        <v>3565.3199999999997</v>
      </c>
      <c r="K384" s="33">
        <f t="shared" si="41"/>
        <v>596.76</v>
      </c>
      <c r="L384" s="62">
        <f t="shared" si="42"/>
        <v>1.069596</v>
      </c>
    </row>
    <row r="385" spans="1:12" x14ac:dyDescent="0.25">
      <c r="A385" s="1" t="s">
        <v>48</v>
      </c>
      <c r="B385" s="17">
        <v>19</v>
      </c>
      <c r="C385" s="59" t="s">
        <v>48</v>
      </c>
      <c r="D385" s="17" t="s">
        <v>40</v>
      </c>
      <c r="E385" s="60">
        <v>2018</v>
      </c>
      <c r="F385">
        <v>3</v>
      </c>
      <c r="G385" s="17">
        <v>1</v>
      </c>
      <c r="H385" s="61">
        <v>197.68</v>
      </c>
      <c r="I385" s="32">
        <v>197.68</v>
      </c>
      <c r="J385" s="32">
        <f t="shared" si="43"/>
        <v>3762.9999999999995</v>
      </c>
      <c r="K385" s="33">
        <f t="shared" si="41"/>
        <v>593.04</v>
      </c>
      <c r="L385" s="62">
        <f t="shared" si="42"/>
        <v>1.1289</v>
      </c>
    </row>
    <row r="386" spans="1:12" x14ac:dyDescent="0.25">
      <c r="A386" s="1" t="s">
        <v>48</v>
      </c>
      <c r="B386" s="17">
        <v>20</v>
      </c>
      <c r="C386" s="59" t="s">
        <v>48</v>
      </c>
      <c r="D386" s="17" t="s">
        <v>40</v>
      </c>
      <c r="E386" s="60">
        <v>2018</v>
      </c>
      <c r="F386">
        <v>3</v>
      </c>
      <c r="G386" s="17">
        <v>1</v>
      </c>
      <c r="H386" s="61">
        <v>196.44</v>
      </c>
      <c r="I386" s="32">
        <v>196.44</v>
      </c>
      <c r="J386" s="32">
        <f t="shared" si="43"/>
        <v>3959.4399999999996</v>
      </c>
      <c r="K386" s="33">
        <f t="shared" si="41"/>
        <v>589.31999999999994</v>
      </c>
      <c r="L386" s="62">
        <f t="shared" si="42"/>
        <v>1.187832</v>
      </c>
    </row>
    <row r="387" spans="1:12" x14ac:dyDescent="0.25">
      <c r="A387" s="1" t="s">
        <v>48</v>
      </c>
      <c r="B387" s="17">
        <v>21</v>
      </c>
      <c r="C387" s="59" t="s">
        <v>48</v>
      </c>
      <c r="D387" s="17" t="s">
        <v>40</v>
      </c>
      <c r="E387" s="60">
        <v>2018</v>
      </c>
      <c r="F387">
        <v>3</v>
      </c>
      <c r="G387" s="17">
        <v>1</v>
      </c>
      <c r="H387" s="61">
        <v>195.2</v>
      </c>
      <c r="I387" s="32">
        <v>195.2</v>
      </c>
      <c r="J387" s="32">
        <f t="shared" si="43"/>
        <v>4154.6399999999994</v>
      </c>
      <c r="K387" s="33">
        <f t="shared" si="41"/>
        <v>585.59999999999991</v>
      </c>
      <c r="L387" s="62">
        <f t="shared" si="42"/>
        <v>1.2463919999999999</v>
      </c>
    </row>
    <row r="388" spans="1:12" x14ac:dyDescent="0.25">
      <c r="A388" s="1" t="s">
        <v>48</v>
      </c>
      <c r="B388" s="17">
        <v>22</v>
      </c>
      <c r="C388" s="59" t="s">
        <v>48</v>
      </c>
      <c r="D388" s="17" t="s">
        <v>40</v>
      </c>
      <c r="E388" s="60">
        <v>2018</v>
      </c>
      <c r="F388">
        <v>3</v>
      </c>
      <c r="G388" s="17">
        <v>1</v>
      </c>
      <c r="H388" s="61">
        <v>193.96</v>
      </c>
      <c r="I388" s="32">
        <v>193.96</v>
      </c>
      <c r="J388" s="32">
        <f t="shared" si="43"/>
        <v>4348.5999999999995</v>
      </c>
      <c r="K388" s="33">
        <f t="shared" si="41"/>
        <v>581.88</v>
      </c>
      <c r="L388" s="62">
        <f t="shared" si="42"/>
        <v>1.3045799999999999</v>
      </c>
    </row>
    <row r="389" spans="1:12" x14ac:dyDescent="0.25">
      <c r="A389" s="1" t="s">
        <v>48</v>
      </c>
      <c r="B389" s="17">
        <v>23</v>
      </c>
      <c r="C389" s="59" t="s">
        <v>48</v>
      </c>
      <c r="D389" s="17" t="s">
        <v>40</v>
      </c>
      <c r="E389" s="60">
        <v>2018</v>
      </c>
      <c r="F389">
        <v>3</v>
      </c>
      <c r="G389" s="17">
        <v>1</v>
      </c>
      <c r="H389" s="61">
        <v>192.72</v>
      </c>
      <c r="I389" s="32">
        <v>192.72</v>
      </c>
      <c r="J389" s="32">
        <f t="shared" si="43"/>
        <v>4541.32</v>
      </c>
      <c r="K389" s="33">
        <f t="shared" si="41"/>
        <v>578.16</v>
      </c>
      <c r="L389" s="62">
        <f t="shared" si="42"/>
        <v>1.3623959999999999</v>
      </c>
    </row>
    <row r="390" spans="1:12" x14ac:dyDescent="0.25">
      <c r="A390" s="1" t="s">
        <v>48</v>
      </c>
      <c r="B390" s="17">
        <v>24</v>
      </c>
      <c r="C390" s="59" t="s">
        <v>48</v>
      </c>
      <c r="D390" s="17" t="s">
        <v>40</v>
      </c>
      <c r="E390" s="60">
        <v>2018</v>
      </c>
      <c r="F390">
        <v>3</v>
      </c>
      <c r="G390" s="17">
        <v>1</v>
      </c>
      <c r="H390" s="61">
        <v>191.48</v>
      </c>
      <c r="I390" s="32">
        <v>191.48</v>
      </c>
      <c r="J390" s="32">
        <f t="shared" si="43"/>
        <v>4732.7999999999993</v>
      </c>
      <c r="K390" s="33">
        <f t="shared" si="41"/>
        <v>574.43999999999994</v>
      </c>
      <c r="L390" s="62">
        <f t="shared" si="42"/>
        <v>1.41984</v>
      </c>
    </row>
    <row r="391" spans="1:12" x14ac:dyDescent="0.25">
      <c r="A391" s="1" t="s">
        <v>48</v>
      </c>
      <c r="B391" s="17">
        <v>25</v>
      </c>
      <c r="C391" s="59" t="s">
        <v>48</v>
      </c>
      <c r="D391" s="17" t="s">
        <v>40</v>
      </c>
      <c r="E391" s="60">
        <v>2018</v>
      </c>
      <c r="F391">
        <v>3</v>
      </c>
      <c r="G391" s="17">
        <v>1</v>
      </c>
      <c r="H391" s="61">
        <v>190.24</v>
      </c>
      <c r="I391" s="32">
        <v>190.24</v>
      </c>
      <c r="J391" s="32">
        <f t="shared" si="43"/>
        <v>4923.0399999999991</v>
      </c>
      <c r="K391" s="33">
        <f t="shared" si="41"/>
        <v>570.72</v>
      </c>
      <c r="L391" s="62">
        <f t="shared" si="42"/>
        <v>1.476912</v>
      </c>
    </row>
    <row r="392" spans="1:12" x14ac:dyDescent="0.25">
      <c r="A392" s="1" t="s">
        <v>48</v>
      </c>
      <c r="B392" s="17">
        <v>26</v>
      </c>
      <c r="C392" s="59" t="s">
        <v>48</v>
      </c>
      <c r="D392" s="17" t="s">
        <v>40</v>
      </c>
      <c r="E392" s="60">
        <v>2018</v>
      </c>
      <c r="F392">
        <v>3</v>
      </c>
      <c r="G392" s="17">
        <v>1</v>
      </c>
      <c r="H392" s="61">
        <v>189</v>
      </c>
      <c r="I392" s="32">
        <v>189</v>
      </c>
      <c r="J392" s="32">
        <f t="shared" si="43"/>
        <v>5112.0399999999991</v>
      </c>
      <c r="K392" s="33">
        <f t="shared" si="41"/>
        <v>567</v>
      </c>
      <c r="L392" s="62">
        <f t="shared" si="42"/>
        <v>1.533612</v>
      </c>
    </row>
    <row r="393" spans="1:12" x14ac:dyDescent="0.25">
      <c r="B393" s="17"/>
      <c r="G393" s="17"/>
      <c r="I393" s="32"/>
      <c r="J393" s="32"/>
      <c r="K393" s="33"/>
    </row>
    <row r="394" spans="1:12" x14ac:dyDescent="0.25">
      <c r="B394" s="17"/>
      <c r="G394" s="17"/>
      <c r="I394" s="32"/>
      <c r="J394" s="32"/>
      <c r="K394" s="33"/>
    </row>
    <row r="395" spans="1:12" x14ac:dyDescent="0.25">
      <c r="A395" t="s">
        <v>49</v>
      </c>
      <c r="B395" s="17">
        <v>1</v>
      </c>
      <c r="C395" s="59" t="s">
        <v>48</v>
      </c>
      <c r="D395" s="17" t="s">
        <v>40</v>
      </c>
      <c r="E395" s="60">
        <v>2019</v>
      </c>
      <c r="F395">
        <v>3</v>
      </c>
      <c r="G395" s="17">
        <v>1</v>
      </c>
      <c r="H395">
        <v>188.42</v>
      </c>
      <c r="I395" s="32">
        <v>188.42</v>
      </c>
      <c r="J395" s="32">
        <f>I395</f>
        <v>188.42</v>
      </c>
      <c r="K395" s="33">
        <f>I395*F395</f>
        <v>565.26</v>
      </c>
      <c r="L395" s="62">
        <f>K395/10000</f>
        <v>5.6526E-2</v>
      </c>
    </row>
    <row r="396" spans="1:12" x14ac:dyDescent="0.25">
      <c r="A396" t="s">
        <v>49</v>
      </c>
      <c r="B396" s="17">
        <v>2</v>
      </c>
      <c r="C396" s="59" t="s">
        <v>48</v>
      </c>
      <c r="D396" s="17" t="s">
        <v>40</v>
      </c>
      <c r="E396" s="60">
        <v>2019</v>
      </c>
      <c r="F396">
        <v>3</v>
      </c>
      <c r="G396" s="17">
        <v>1</v>
      </c>
      <c r="H396">
        <v>187.23</v>
      </c>
      <c r="I396" s="32">
        <v>187.23</v>
      </c>
      <c r="J396" s="32">
        <f>J395+I396</f>
        <v>375.65</v>
      </c>
      <c r="K396" s="33">
        <f t="shared" ref="K396:K416" si="44">I396*F396</f>
        <v>561.68999999999994</v>
      </c>
      <c r="L396" s="62">
        <f>(K396/10000)+L395</f>
        <v>0.11269499999999999</v>
      </c>
    </row>
    <row r="397" spans="1:12" x14ac:dyDescent="0.25">
      <c r="A397" t="s">
        <v>49</v>
      </c>
      <c r="B397" s="17">
        <v>3</v>
      </c>
      <c r="C397" s="59" t="s">
        <v>48</v>
      </c>
      <c r="D397" s="17" t="s">
        <v>40</v>
      </c>
      <c r="E397" s="60">
        <v>2019</v>
      </c>
      <c r="F397">
        <v>3</v>
      </c>
      <c r="G397" s="17">
        <v>1</v>
      </c>
      <c r="H397">
        <v>186.04</v>
      </c>
      <c r="I397" s="32">
        <v>186.04</v>
      </c>
      <c r="J397" s="32">
        <f t="shared" ref="J397:J416" si="45">J396+I397</f>
        <v>561.68999999999994</v>
      </c>
      <c r="K397" s="33">
        <f t="shared" si="44"/>
        <v>558.12</v>
      </c>
      <c r="L397" s="62">
        <f t="shared" ref="L397:L416" si="46">(K397/10000)+L396</f>
        <v>0.16850699999999999</v>
      </c>
    </row>
    <row r="398" spans="1:12" x14ac:dyDescent="0.25">
      <c r="A398" t="s">
        <v>49</v>
      </c>
      <c r="B398" s="17">
        <v>4</v>
      </c>
      <c r="C398" s="59" t="s">
        <v>48</v>
      </c>
      <c r="D398" s="17" t="s">
        <v>40</v>
      </c>
      <c r="E398" s="60">
        <v>2019</v>
      </c>
      <c r="F398">
        <v>3</v>
      </c>
      <c r="G398" s="17">
        <v>1</v>
      </c>
      <c r="H398">
        <v>184.05</v>
      </c>
      <c r="I398" s="32">
        <v>184.05</v>
      </c>
      <c r="J398" s="32">
        <f t="shared" si="45"/>
        <v>745.74</v>
      </c>
      <c r="K398" s="33">
        <f t="shared" si="44"/>
        <v>552.15000000000009</v>
      </c>
      <c r="L398" s="62">
        <f t="shared" si="46"/>
        <v>0.223722</v>
      </c>
    </row>
    <row r="399" spans="1:12" x14ac:dyDescent="0.25">
      <c r="A399" t="s">
        <v>49</v>
      </c>
      <c r="B399" s="17">
        <v>5</v>
      </c>
      <c r="C399" s="59" t="s">
        <v>48</v>
      </c>
      <c r="D399" s="17" t="s">
        <v>40</v>
      </c>
      <c r="E399" s="60">
        <v>2019</v>
      </c>
      <c r="F399">
        <v>3</v>
      </c>
      <c r="G399" s="17">
        <v>1</v>
      </c>
      <c r="H399">
        <v>183.67</v>
      </c>
      <c r="I399" s="32">
        <v>183.67</v>
      </c>
      <c r="J399" s="32">
        <f t="shared" si="45"/>
        <v>929.41</v>
      </c>
      <c r="K399" s="33">
        <f t="shared" si="44"/>
        <v>551.01</v>
      </c>
      <c r="L399" s="62">
        <f t="shared" si="46"/>
        <v>0.27882299999999999</v>
      </c>
    </row>
    <row r="400" spans="1:12" x14ac:dyDescent="0.25">
      <c r="A400" t="s">
        <v>49</v>
      </c>
      <c r="B400" s="17">
        <v>6</v>
      </c>
      <c r="C400" s="59" t="s">
        <v>48</v>
      </c>
      <c r="D400" s="17" t="s">
        <v>40</v>
      </c>
      <c r="E400" s="60">
        <v>2019</v>
      </c>
      <c r="F400">
        <v>3</v>
      </c>
      <c r="G400" s="17">
        <v>1</v>
      </c>
      <c r="H400">
        <v>182.48</v>
      </c>
      <c r="I400" s="32">
        <v>182.48</v>
      </c>
      <c r="J400" s="32">
        <f t="shared" si="45"/>
        <v>1111.8899999999999</v>
      </c>
      <c r="K400" s="33">
        <f t="shared" si="44"/>
        <v>547.43999999999994</v>
      </c>
      <c r="L400" s="62">
        <f t="shared" si="46"/>
        <v>0.333567</v>
      </c>
    </row>
    <row r="401" spans="1:12" x14ac:dyDescent="0.25">
      <c r="A401" t="s">
        <v>49</v>
      </c>
      <c r="B401" s="17">
        <v>7</v>
      </c>
      <c r="C401" s="59" t="s">
        <v>48</v>
      </c>
      <c r="D401" s="17" t="s">
        <v>40</v>
      </c>
      <c r="E401" s="60">
        <v>2019</v>
      </c>
      <c r="F401">
        <v>3</v>
      </c>
      <c r="G401" s="17">
        <v>1</v>
      </c>
      <c r="H401">
        <v>181.29</v>
      </c>
      <c r="I401" s="32">
        <v>181.29</v>
      </c>
      <c r="J401" s="32">
        <f t="shared" si="45"/>
        <v>1293.1799999999998</v>
      </c>
      <c r="K401" s="33">
        <f t="shared" si="44"/>
        <v>543.87</v>
      </c>
      <c r="L401" s="62">
        <f t="shared" si="46"/>
        <v>0.38795400000000002</v>
      </c>
    </row>
    <row r="402" spans="1:12" x14ac:dyDescent="0.25">
      <c r="A402" t="s">
        <v>49</v>
      </c>
      <c r="B402" s="17">
        <v>8</v>
      </c>
      <c r="C402" s="59" t="s">
        <v>48</v>
      </c>
      <c r="D402" s="17" t="s">
        <v>40</v>
      </c>
      <c r="E402" s="60">
        <v>2019</v>
      </c>
      <c r="F402">
        <v>3</v>
      </c>
      <c r="G402" s="17">
        <v>1</v>
      </c>
      <c r="H402">
        <v>180.11</v>
      </c>
      <c r="I402" s="32">
        <v>180.11</v>
      </c>
      <c r="J402" s="32">
        <f t="shared" si="45"/>
        <v>1473.29</v>
      </c>
      <c r="K402" s="33">
        <f t="shared" si="44"/>
        <v>540.33000000000004</v>
      </c>
      <c r="L402" s="62">
        <f t="shared" si="46"/>
        <v>0.44198700000000002</v>
      </c>
    </row>
    <row r="403" spans="1:12" x14ac:dyDescent="0.25">
      <c r="A403" t="s">
        <v>49</v>
      </c>
      <c r="B403" s="17">
        <v>9</v>
      </c>
      <c r="C403" s="59" t="s">
        <v>48</v>
      </c>
      <c r="D403" s="17" t="s">
        <v>40</v>
      </c>
      <c r="E403" s="60">
        <v>2019</v>
      </c>
      <c r="F403">
        <v>3</v>
      </c>
      <c r="G403" s="17">
        <v>1</v>
      </c>
      <c r="H403">
        <v>178.92</v>
      </c>
      <c r="I403" s="32">
        <v>178.92</v>
      </c>
      <c r="J403" s="32">
        <f t="shared" si="45"/>
        <v>1652.21</v>
      </c>
      <c r="K403" s="33">
        <f t="shared" si="44"/>
        <v>536.76</v>
      </c>
      <c r="L403" s="62">
        <f t="shared" si="46"/>
        <v>0.49566300000000002</v>
      </c>
    </row>
    <row r="404" spans="1:12" x14ac:dyDescent="0.25">
      <c r="A404" t="s">
        <v>49</v>
      </c>
      <c r="B404" s="17">
        <v>10</v>
      </c>
      <c r="C404" s="59" t="s">
        <v>48</v>
      </c>
      <c r="D404" s="17" t="s">
        <v>40</v>
      </c>
      <c r="E404" s="60">
        <v>2019</v>
      </c>
      <c r="F404">
        <v>3</v>
      </c>
      <c r="G404" s="17">
        <v>1</v>
      </c>
      <c r="H404">
        <v>177.73</v>
      </c>
      <c r="I404" s="32">
        <v>177.73</v>
      </c>
      <c r="J404" s="32">
        <f t="shared" si="45"/>
        <v>1829.94</v>
      </c>
      <c r="K404" s="33">
        <f t="shared" si="44"/>
        <v>533.18999999999994</v>
      </c>
      <c r="L404" s="62">
        <f t="shared" si="46"/>
        <v>0.54898199999999997</v>
      </c>
    </row>
    <row r="405" spans="1:12" x14ac:dyDescent="0.25">
      <c r="A405" t="s">
        <v>49</v>
      </c>
      <c r="B405" s="17">
        <v>11</v>
      </c>
      <c r="C405" s="59" t="s">
        <v>48</v>
      </c>
      <c r="D405" s="17" t="s">
        <v>40</v>
      </c>
      <c r="E405" s="60">
        <v>2019</v>
      </c>
      <c r="F405">
        <v>3</v>
      </c>
      <c r="G405" s="17">
        <v>1</v>
      </c>
      <c r="H405">
        <v>176.54</v>
      </c>
      <c r="I405" s="32">
        <v>176.54</v>
      </c>
      <c r="J405" s="32">
        <f t="shared" si="45"/>
        <v>2006.48</v>
      </c>
      <c r="K405" s="33">
        <f t="shared" si="44"/>
        <v>529.62</v>
      </c>
      <c r="L405" s="62">
        <f t="shared" si="46"/>
        <v>0.60194399999999992</v>
      </c>
    </row>
    <row r="406" spans="1:12" x14ac:dyDescent="0.25">
      <c r="A406" t="s">
        <v>49</v>
      </c>
      <c r="B406" s="17">
        <v>12</v>
      </c>
      <c r="C406" s="59" t="s">
        <v>48</v>
      </c>
      <c r="D406" s="17" t="s">
        <v>40</v>
      </c>
      <c r="E406" s="60">
        <v>2019</v>
      </c>
      <c r="F406">
        <v>3</v>
      </c>
      <c r="G406" s="17">
        <v>1</v>
      </c>
      <c r="H406">
        <v>175.36</v>
      </c>
      <c r="I406" s="32">
        <v>175.36</v>
      </c>
      <c r="J406" s="32">
        <f t="shared" si="45"/>
        <v>2181.84</v>
      </c>
      <c r="K406" s="33">
        <f t="shared" si="44"/>
        <v>526.08000000000004</v>
      </c>
      <c r="L406" s="62">
        <f t="shared" si="46"/>
        <v>0.65455199999999991</v>
      </c>
    </row>
    <row r="407" spans="1:12" x14ac:dyDescent="0.25">
      <c r="A407" t="s">
        <v>49</v>
      </c>
      <c r="B407" s="17">
        <v>13</v>
      </c>
      <c r="C407" s="59" t="s">
        <v>48</v>
      </c>
      <c r="D407" s="17" t="s">
        <v>40</v>
      </c>
      <c r="E407" s="60">
        <v>2019</v>
      </c>
      <c r="F407">
        <v>3</v>
      </c>
      <c r="G407" s="17">
        <v>1</v>
      </c>
      <c r="H407">
        <v>174.17</v>
      </c>
      <c r="I407" s="32">
        <v>174.17</v>
      </c>
      <c r="J407" s="32">
        <f t="shared" si="45"/>
        <v>2356.0100000000002</v>
      </c>
      <c r="K407" s="33">
        <f t="shared" si="44"/>
        <v>522.51</v>
      </c>
      <c r="L407" s="62">
        <f t="shared" si="46"/>
        <v>0.70680299999999996</v>
      </c>
    </row>
    <row r="408" spans="1:12" x14ac:dyDescent="0.25">
      <c r="A408" t="s">
        <v>49</v>
      </c>
      <c r="B408" s="17">
        <v>14</v>
      </c>
      <c r="C408" s="59" t="s">
        <v>48</v>
      </c>
      <c r="D408" s="17" t="s">
        <v>40</v>
      </c>
      <c r="E408" s="60">
        <v>2019</v>
      </c>
      <c r="F408">
        <v>3</v>
      </c>
      <c r="G408" s="17">
        <v>1</v>
      </c>
      <c r="H408">
        <v>172.98</v>
      </c>
      <c r="I408" s="32">
        <v>172.98</v>
      </c>
      <c r="J408" s="32">
        <f t="shared" si="45"/>
        <v>2528.9900000000002</v>
      </c>
      <c r="K408" s="33">
        <f t="shared" si="44"/>
        <v>518.93999999999994</v>
      </c>
      <c r="L408" s="62">
        <f t="shared" si="46"/>
        <v>0.75869699999999995</v>
      </c>
    </row>
    <row r="409" spans="1:12" x14ac:dyDescent="0.25">
      <c r="A409" t="s">
        <v>49</v>
      </c>
      <c r="B409" s="17">
        <v>15</v>
      </c>
      <c r="C409" s="59" t="s">
        <v>48</v>
      </c>
      <c r="D409" s="17" t="s">
        <v>40</v>
      </c>
      <c r="E409" s="60">
        <v>2019</v>
      </c>
      <c r="F409">
        <v>3</v>
      </c>
      <c r="G409" s="17">
        <v>1</v>
      </c>
      <c r="H409">
        <v>171.79</v>
      </c>
      <c r="I409" s="32">
        <v>171.79</v>
      </c>
      <c r="J409" s="32">
        <f t="shared" si="45"/>
        <v>2700.78</v>
      </c>
      <c r="K409" s="33">
        <f t="shared" si="44"/>
        <v>515.37</v>
      </c>
      <c r="L409" s="62">
        <f t="shared" si="46"/>
        <v>0.8102339999999999</v>
      </c>
    </row>
    <row r="410" spans="1:12" x14ac:dyDescent="0.25">
      <c r="A410" t="s">
        <v>49</v>
      </c>
      <c r="B410" s="17">
        <v>16</v>
      </c>
      <c r="C410" s="59" t="s">
        <v>48</v>
      </c>
      <c r="D410" s="17" t="s">
        <v>40</v>
      </c>
      <c r="E410" s="60">
        <v>2019</v>
      </c>
      <c r="F410">
        <v>3</v>
      </c>
      <c r="G410" s="17">
        <v>1</v>
      </c>
      <c r="H410">
        <v>170.61</v>
      </c>
      <c r="I410" s="32">
        <v>170.61</v>
      </c>
      <c r="J410" s="32">
        <f t="shared" si="45"/>
        <v>2871.3900000000003</v>
      </c>
      <c r="K410" s="33">
        <f t="shared" si="44"/>
        <v>511.83000000000004</v>
      </c>
      <c r="L410" s="62">
        <f t="shared" si="46"/>
        <v>0.86141699999999988</v>
      </c>
    </row>
    <row r="411" spans="1:12" x14ac:dyDescent="0.25">
      <c r="A411" t="s">
        <v>49</v>
      </c>
      <c r="B411" s="17">
        <v>17</v>
      </c>
      <c r="C411" s="59" t="s">
        <v>48</v>
      </c>
      <c r="D411" s="17" t="s">
        <v>40</v>
      </c>
      <c r="E411" s="60">
        <v>2019</v>
      </c>
      <c r="F411">
        <v>3</v>
      </c>
      <c r="G411" s="17">
        <v>1</v>
      </c>
      <c r="H411">
        <v>169.42</v>
      </c>
      <c r="I411" s="32">
        <v>169.42</v>
      </c>
      <c r="J411" s="32">
        <f t="shared" si="45"/>
        <v>3040.8100000000004</v>
      </c>
      <c r="K411" s="33">
        <f t="shared" si="44"/>
        <v>508.26</v>
      </c>
      <c r="L411" s="62">
        <f t="shared" si="46"/>
        <v>0.91224299999999992</v>
      </c>
    </row>
    <row r="412" spans="1:12" x14ac:dyDescent="0.25">
      <c r="A412" t="s">
        <v>49</v>
      </c>
      <c r="B412" s="17">
        <v>18</v>
      </c>
      <c r="C412" s="59" t="s">
        <v>48</v>
      </c>
      <c r="D412" s="17" t="s">
        <v>40</v>
      </c>
      <c r="E412" s="60">
        <v>2019</v>
      </c>
      <c r="F412">
        <v>3</v>
      </c>
      <c r="G412" s="17">
        <v>1</v>
      </c>
      <c r="H412">
        <v>168.23</v>
      </c>
      <c r="I412" s="32">
        <v>168.23</v>
      </c>
      <c r="J412" s="32">
        <f t="shared" si="45"/>
        <v>3209.0400000000004</v>
      </c>
      <c r="K412" s="33">
        <f t="shared" si="44"/>
        <v>504.68999999999994</v>
      </c>
      <c r="L412" s="62">
        <f t="shared" si="46"/>
        <v>0.9627119999999999</v>
      </c>
    </row>
    <row r="413" spans="1:12" x14ac:dyDescent="0.25">
      <c r="A413" t="s">
        <v>49</v>
      </c>
      <c r="B413" s="17">
        <v>19</v>
      </c>
      <c r="C413" s="59" t="s">
        <v>48</v>
      </c>
      <c r="D413" s="17" t="s">
        <v>40</v>
      </c>
      <c r="E413" s="60">
        <v>2019</v>
      </c>
      <c r="F413">
        <v>3</v>
      </c>
      <c r="G413" s="17">
        <v>1</v>
      </c>
      <c r="H413">
        <v>167.05</v>
      </c>
      <c r="I413" s="32">
        <v>167.05</v>
      </c>
      <c r="J413" s="32">
        <f t="shared" si="45"/>
        <v>3376.0900000000006</v>
      </c>
      <c r="K413" s="33">
        <f t="shared" si="44"/>
        <v>501.15000000000003</v>
      </c>
      <c r="L413" s="62">
        <f t="shared" si="46"/>
        <v>1.0128269999999999</v>
      </c>
    </row>
    <row r="414" spans="1:12" x14ac:dyDescent="0.25">
      <c r="A414" t="s">
        <v>49</v>
      </c>
      <c r="B414" s="17">
        <v>20</v>
      </c>
      <c r="C414" s="59" t="s">
        <v>48</v>
      </c>
      <c r="D414" s="17" t="s">
        <v>40</v>
      </c>
      <c r="E414" s="60">
        <v>2019</v>
      </c>
      <c r="F414">
        <v>3</v>
      </c>
      <c r="G414" s="17">
        <v>1</v>
      </c>
      <c r="H414">
        <v>165.86</v>
      </c>
      <c r="I414" s="32">
        <v>165.86</v>
      </c>
      <c r="J414" s="32">
        <f t="shared" si="45"/>
        <v>3541.9500000000007</v>
      </c>
      <c r="K414" s="33">
        <f t="shared" si="44"/>
        <v>497.58000000000004</v>
      </c>
      <c r="L414" s="62">
        <f t="shared" si="46"/>
        <v>1.0625849999999999</v>
      </c>
    </row>
    <row r="415" spans="1:12" x14ac:dyDescent="0.25">
      <c r="A415" t="s">
        <v>49</v>
      </c>
      <c r="B415" s="17">
        <v>21</v>
      </c>
      <c r="C415" s="59" t="s">
        <v>48</v>
      </c>
      <c r="D415" s="17" t="s">
        <v>40</v>
      </c>
      <c r="E415" s="60">
        <v>2019</v>
      </c>
      <c r="F415">
        <v>3</v>
      </c>
      <c r="G415" s="17">
        <v>1</v>
      </c>
      <c r="H415">
        <v>164.67</v>
      </c>
      <c r="I415" s="32">
        <v>164.67</v>
      </c>
      <c r="J415" s="32">
        <f t="shared" si="45"/>
        <v>3706.6200000000008</v>
      </c>
      <c r="K415" s="33">
        <f t="shared" si="44"/>
        <v>494.01</v>
      </c>
      <c r="L415" s="62">
        <f t="shared" si="46"/>
        <v>1.1119859999999999</v>
      </c>
    </row>
    <row r="416" spans="1:12" x14ac:dyDescent="0.25">
      <c r="A416" t="s">
        <v>49</v>
      </c>
      <c r="B416" s="17">
        <v>22</v>
      </c>
      <c r="C416" s="59" t="s">
        <v>48</v>
      </c>
      <c r="D416" s="17" t="s">
        <v>40</v>
      </c>
      <c r="E416" s="60">
        <v>2019</v>
      </c>
      <c r="F416">
        <v>3</v>
      </c>
      <c r="G416" s="17">
        <v>1</v>
      </c>
      <c r="H416">
        <v>163.44</v>
      </c>
      <c r="I416" s="32">
        <v>163.44</v>
      </c>
      <c r="J416" s="32">
        <f t="shared" si="45"/>
        <v>3870.0600000000009</v>
      </c>
      <c r="K416" s="33">
        <f t="shared" si="44"/>
        <v>490.32</v>
      </c>
      <c r="L416" s="62">
        <f t="shared" si="46"/>
        <v>1.1610179999999999</v>
      </c>
    </row>
    <row r="417" spans="1:12" x14ac:dyDescent="0.25">
      <c r="B417" s="17"/>
      <c r="G417" s="17"/>
      <c r="I417" s="63"/>
      <c r="J417" s="32"/>
      <c r="K417" s="33"/>
    </row>
    <row r="418" spans="1:12" x14ac:dyDescent="0.25">
      <c r="A418" s="59" t="s">
        <v>50</v>
      </c>
      <c r="B418" s="17">
        <v>1</v>
      </c>
      <c r="C418" s="59" t="s">
        <v>48</v>
      </c>
      <c r="D418" s="17" t="s">
        <v>40</v>
      </c>
      <c r="E418" s="60">
        <v>2022</v>
      </c>
      <c r="F418">
        <v>3</v>
      </c>
      <c r="G418" s="17">
        <v>1</v>
      </c>
      <c r="H418">
        <v>134</v>
      </c>
      <c r="I418" s="32">
        <f>H418</f>
        <v>134</v>
      </c>
      <c r="J418" s="32">
        <f>I418</f>
        <v>134</v>
      </c>
      <c r="K418" s="33">
        <f>I418*F418</f>
        <v>402</v>
      </c>
      <c r="L418" s="62">
        <f>K418/10000</f>
        <v>4.02E-2</v>
      </c>
    </row>
    <row r="419" spans="1:12" x14ac:dyDescent="0.25">
      <c r="A419" s="59" t="s">
        <v>50</v>
      </c>
      <c r="B419" s="17">
        <v>2</v>
      </c>
      <c r="C419" s="59" t="s">
        <v>48</v>
      </c>
      <c r="D419" s="17" t="s">
        <v>40</v>
      </c>
      <c r="E419" s="60">
        <v>2022</v>
      </c>
      <c r="F419">
        <v>3</v>
      </c>
      <c r="G419" s="17">
        <v>1</v>
      </c>
      <c r="H419">
        <v>136</v>
      </c>
      <c r="I419" s="32">
        <f t="shared" ref="I419:I458" si="47">H419</f>
        <v>136</v>
      </c>
      <c r="J419" s="32">
        <f>J418+I419</f>
        <v>270</v>
      </c>
      <c r="K419" s="33">
        <f t="shared" ref="K419:K459" si="48">I419*F419</f>
        <v>408</v>
      </c>
      <c r="L419" s="62">
        <f>(K419/10000)+L418</f>
        <v>8.1000000000000003E-2</v>
      </c>
    </row>
    <row r="420" spans="1:12" x14ac:dyDescent="0.25">
      <c r="A420" s="59" t="s">
        <v>50</v>
      </c>
      <c r="B420" s="17">
        <v>3</v>
      </c>
      <c r="C420" s="59" t="s">
        <v>48</v>
      </c>
      <c r="D420" s="17" t="s">
        <v>40</v>
      </c>
      <c r="E420" s="60">
        <v>2022</v>
      </c>
      <c r="F420">
        <v>3</v>
      </c>
      <c r="G420" s="17">
        <v>1</v>
      </c>
      <c r="H420">
        <v>141</v>
      </c>
      <c r="I420" s="32">
        <f t="shared" si="47"/>
        <v>141</v>
      </c>
      <c r="J420" s="32">
        <f t="shared" ref="J420:J445" si="49">J419+I420</f>
        <v>411</v>
      </c>
      <c r="K420" s="33">
        <f t="shared" si="48"/>
        <v>423</v>
      </c>
      <c r="L420" s="62">
        <f t="shared" ref="L420:L445" si="50">(K420/10000)+L419</f>
        <v>0.12329999999999999</v>
      </c>
    </row>
    <row r="421" spans="1:12" x14ac:dyDescent="0.25">
      <c r="A421" s="59" t="s">
        <v>50</v>
      </c>
      <c r="B421" s="17">
        <v>4</v>
      </c>
      <c r="C421" s="59" t="s">
        <v>48</v>
      </c>
      <c r="D421" s="17" t="s">
        <v>40</v>
      </c>
      <c r="E421" s="60">
        <v>2022</v>
      </c>
      <c r="F421">
        <v>3</v>
      </c>
      <c r="G421" s="17">
        <v>1</v>
      </c>
      <c r="H421">
        <v>145</v>
      </c>
      <c r="I421" s="32">
        <f t="shared" si="47"/>
        <v>145</v>
      </c>
      <c r="J421" s="32">
        <f t="shared" si="49"/>
        <v>556</v>
      </c>
      <c r="K421" s="33">
        <f t="shared" si="48"/>
        <v>435</v>
      </c>
      <c r="L421" s="62">
        <f t="shared" si="50"/>
        <v>0.1668</v>
      </c>
    </row>
    <row r="422" spans="1:12" x14ac:dyDescent="0.25">
      <c r="A422" s="59" t="s">
        <v>50</v>
      </c>
      <c r="B422" s="17">
        <v>5</v>
      </c>
      <c r="C422" s="59" t="s">
        <v>48</v>
      </c>
      <c r="D422" s="17" t="s">
        <v>40</v>
      </c>
      <c r="E422" s="60">
        <v>2022</v>
      </c>
      <c r="F422">
        <v>3</v>
      </c>
      <c r="G422" s="17">
        <v>1</v>
      </c>
      <c r="H422">
        <v>149</v>
      </c>
      <c r="I422" s="32">
        <f t="shared" si="47"/>
        <v>149</v>
      </c>
      <c r="J422" s="32">
        <f t="shared" si="49"/>
        <v>705</v>
      </c>
      <c r="K422" s="33">
        <f t="shared" si="48"/>
        <v>447</v>
      </c>
      <c r="L422" s="62">
        <f t="shared" si="50"/>
        <v>0.21149999999999999</v>
      </c>
    </row>
    <row r="423" spans="1:12" x14ac:dyDescent="0.25">
      <c r="A423" s="59" t="s">
        <v>50</v>
      </c>
      <c r="B423" s="17">
        <v>6</v>
      </c>
      <c r="C423" s="59" t="s">
        <v>48</v>
      </c>
      <c r="D423" s="17" t="s">
        <v>40</v>
      </c>
      <c r="E423" s="60">
        <v>2022</v>
      </c>
      <c r="F423">
        <v>3</v>
      </c>
      <c r="G423" s="17">
        <v>1</v>
      </c>
      <c r="H423">
        <v>153</v>
      </c>
      <c r="I423" s="32">
        <f t="shared" si="47"/>
        <v>153</v>
      </c>
      <c r="J423" s="32">
        <f t="shared" si="49"/>
        <v>858</v>
      </c>
      <c r="K423" s="33">
        <f t="shared" si="48"/>
        <v>459</v>
      </c>
      <c r="L423" s="62">
        <f t="shared" si="50"/>
        <v>0.25740000000000002</v>
      </c>
    </row>
    <row r="424" spans="1:12" x14ac:dyDescent="0.25">
      <c r="A424" s="59" t="s">
        <v>50</v>
      </c>
      <c r="B424" s="17">
        <v>7</v>
      </c>
      <c r="C424" s="59" t="s">
        <v>48</v>
      </c>
      <c r="D424" s="17" t="s">
        <v>40</v>
      </c>
      <c r="E424" s="60">
        <v>2022</v>
      </c>
      <c r="F424">
        <v>3</v>
      </c>
      <c r="G424" s="17">
        <v>1</v>
      </c>
      <c r="H424">
        <v>156</v>
      </c>
      <c r="I424" s="32">
        <f t="shared" si="47"/>
        <v>156</v>
      </c>
      <c r="J424" s="32">
        <f t="shared" si="49"/>
        <v>1014</v>
      </c>
      <c r="K424" s="33">
        <f t="shared" si="48"/>
        <v>468</v>
      </c>
      <c r="L424" s="62">
        <f t="shared" si="50"/>
        <v>0.30420000000000003</v>
      </c>
    </row>
    <row r="425" spans="1:12" x14ac:dyDescent="0.25">
      <c r="A425" s="59" t="s">
        <v>50</v>
      </c>
      <c r="B425" s="17">
        <v>8</v>
      </c>
      <c r="C425" s="59" t="s">
        <v>48</v>
      </c>
      <c r="D425" s="17" t="s">
        <v>40</v>
      </c>
      <c r="E425" s="60">
        <v>2022</v>
      </c>
      <c r="F425">
        <v>3</v>
      </c>
      <c r="G425" s="17">
        <v>1</v>
      </c>
      <c r="H425">
        <v>161</v>
      </c>
      <c r="I425" s="32">
        <f t="shared" si="47"/>
        <v>161</v>
      </c>
      <c r="J425" s="32">
        <f t="shared" si="49"/>
        <v>1175</v>
      </c>
      <c r="K425" s="33">
        <f t="shared" si="48"/>
        <v>483</v>
      </c>
      <c r="L425" s="62">
        <f t="shared" si="50"/>
        <v>0.35250000000000004</v>
      </c>
    </row>
    <row r="426" spans="1:12" x14ac:dyDescent="0.25">
      <c r="A426" s="59" t="s">
        <v>50</v>
      </c>
      <c r="B426" s="17">
        <v>9</v>
      </c>
      <c r="C426" s="59" t="s">
        <v>48</v>
      </c>
      <c r="D426" s="17" t="s">
        <v>40</v>
      </c>
      <c r="E426" s="60">
        <v>2022</v>
      </c>
      <c r="F426">
        <v>3</v>
      </c>
      <c r="G426" s="17">
        <v>1</v>
      </c>
      <c r="H426">
        <v>165</v>
      </c>
      <c r="I426" s="32">
        <f t="shared" si="47"/>
        <v>165</v>
      </c>
      <c r="J426" s="32">
        <f t="shared" si="49"/>
        <v>1340</v>
      </c>
      <c r="K426" s="33">
        <f t="shared" si="48"/>
        <v>495</v>
      </c>
      <c r="L426" s="62">
        <f t="shared" si="50"/>
        <v>0.40200000000000002</v>
      </c>
    </row>
    <row r="427" spans="1:12" x14ac:dyDescent="0.25">
      <c r="A427" s="59" t="s">
        <v>50</v>
      </c>
      <c r="B427" s="17">
        <v>10</v>
      </c>
      <c r="C427" s="59" t="s">
        <v>48</v>
      </c>
      <c r="D427" s="17" t="s">
        <v>40</v>
      </c>
      <c r="E427" s="60">
        <v>2022</v>
      </c>
      <c r="F427">
        <v>3</v>
      </c>
      <c r="G427" s="17">
        <v>1</v>
      </c>
      <c r="H427">
        <v>169</v>
      </c>
      <c r="I427" s="32">
        <f t="shared" si="47"/>
        <v>169</v>
      </c>
      <c r="J427" s="32">
        <f t="shared" si="49"/>
        <v>1509</v>
      </c>
      <c r="K427" s="33">
        <f t="shared" si="48"/>
        <v>507</v>
      </c>
      <c r="L427" s="62">
        <f t="shared" si="50"/>
        <v>0.45270000000000005</v>
      </c>
    </row>
    <row r="428" spans="1:12" x14ac:dyDescent="0.25">
      <c r="A428" s="59" t="s">
        <v>50</v>
      </c>
      <c r="B428" s="17">
        <v>11</v>
      </c>
      <c r="C428" s="59" t="s">
        <v>48</v>
      </c>
      <c r="D428" s="17" t="s">
        <v>40</v>
      </c>
      <c r="E428" s="60">
        <v>2022</v>
      </c>
      <c r="F428">
        <v>3</v>
      </c>
      <c r="G428" s="17">
        <v>1</v>
      </c>
      <c r="H428">
        <v>172</v>
      </c>
      <c r="I428" s="32">
        <f t="shared" si="47"/>
        <v>172</v>
      </c>
      <c r="J428" s="32">
        <f t="shared" si="49"/>
        <v>1681</v>
      </c>
      <c r="K428" s="33">
        <f t="shared" si="48"/>
        <v>516</v>
      </c>
      <c r="L428" s="62">
        <f t="shared" si="50"/>
        <v>0.50430000000000008</v>
      </c>
    </row>
    <row r="429" spans="1:12" x14ac:dyDescent="0.25">
      <c r="A429" s="59" t="s">
        <v>50</v>
      </c>
      <c r="B429" s="17">
        <v>12</v>
      </c>
      <c r="C429" s="59" t="s">
        <v>48</v>
      </c>
      <c r="D429" s="17" t="s">
        <v>40</v>
      </c>
      <c r="E429" s="60">
        <v>2022</v>
      </c>
      <c r="F429">
        <v>3</v>
      </c>
      <c r="G429" s="17">
        <v>1</v>
      </c>
      <c r="H429">
        <v>177</v>
      </c>
      <c r="I429" s="32">
        <f t="shared" si="47"/>
        <v>177</v>
      </c>
      <c r="J429" s="32">
        <f t="shared" si="49"/>
        <v>1858</v>
      </c>
      <c r="K429" s="33">
        <f t="shared" si="48"/>
        <v>531</v>
      </c>
      <c r="L429" s="62">
        <f t="shared" si="50"/>
        <v>0.55740000000000012</v>
      </c>
    </row>
    <row r="430" spans="1:12" x14ac:dyDescent="0.25">
      <c r="A430" s="59" t="s">
        <v>50</v>
      </c>
      <c r="B430" s="17">
        <v>13</v>
      </c>
      <c r="C430" s="59" t="s">
        <v>48</v>
      </c>
      <c r="D430" s="17" t="s">
        <v>40</v>
      </c>
      <c r="E430" s="60">
        <v>2022</v>
      </c>
      <c r="F430">
        <v>3</v>
      </c>
      <c r="G430" s="17">
        <v>1</v>
      </c>
      <c r="H430">
        <v>181</v>
      </c>
      <c r="I430" s="32">
        <f t="shared" si="47"/>
        <v>181</v>
      </c>
      <c r="J430" s="32">
        <f t="shared" si="49"/>
        <v>2039</v>
      </c>
      <c r="K430" s="33">
        <f t="shared" si="48"/>
        <v>543</v>
      </c>
      <c r="L430" s="62">
        <f t="shared" si="50"/>
        <v>0.61170000000000013</v>
      </c>
    </row>
    <row r="431" spans="1:12" x14ac:dyDescent="0.25">
      <c r="A431" s="59" t="s">
        <v>50</v>
      </c>
      <c r="B431" s="17">
        <v>14</v>
      </c>
      <c r="C431" s="59" t="s">
        <v>48</v>
      </c>
      <c r="D431" s="17" t="s">
        <v>40</v>
      </c>
      <c r="E431" s="60">
        <v>2022</v>
      </c>
      <c r="F431">
        <v>3</v>
      </c>
      <c r="G431" s="17">
        <v>1</v>
      </c>
      <c r="H431">
        <v>185</v>
      </c>
      <c r="I431" s="32">
        <f t="shared" si="47"/>
        <v>185</v>
      </c>
      <c r="J431" s="32">
        <f t="shared" si="49"/>
        <v>2224</v>
      </c>
      <c r="K431" s="33">
        <f t="shared" si="48"/>
        <v>555</v>
      </c>
      <c r="L431" s="62">
        <f t="shared" si="50"/>
        <v>0.66720000000000013</v>
      </c>
    </row>
    <row r="432" spans="1:12" x14ac:dyDescent="0.25">
      <c r="A432" s="59" t="s">
        <v>50</v>
      </c>
      <c r="B432" s="17">
        <v>15</v>
      </c>
      <c r="C432" s="59" t="s">
        <v>48</v>
      </c>
      <c r="D432" s="17" t="s">
        <v>40</v>
      </c>
      <c r="E432" s="60">
        <v>2022</v>
      </c>
      <c r="F432">
        <v>3</v>
      </c>
      <c r="G432" s="17">
        <v>1</v>
      </c>
      <c r="H432">
        <v>188</v>
      </c>
      <c r="I432" s="32">
        <f t="shared" si="47"/>
        <v>188</v>
      </c>
      <c r="J432" s="32">
        <f t="shared" si="49"/>
        <v>2412</v>
      </c>
      <c r="K432" s="33">
        <f t="shared" si="48"/>
        <v>564</v>
      </c>
      <c r="L432" s="62">
        <f t="shared" si="50"/>
        <v>0.72360000000000013</v>
      </c>
    </row>
    <row r="433" spans="1:12" x14ac:dyDescent="0.25">
      <c r="A433" s="59" t="s">
        <v>50</v>
      </c>
      <c r="B433" s="17">
        <v>16</v>
      </c>
      <c r="C433" s="59" t="s">
        <v>48</v>
      </c>
      <c r="D433" s="17" t="s">
        <v>40</v>
      </c>
      <c r="E433" s="60">
        <v>2022</v>
      </c>
      <c r="F433">
        <v>3</v>
      </c>
      <c r="G433" s="17">
        <v>1</v>
      </c>
      <c r="H433">
        <v>195</v>
      </c>
      <c r="I433" s="32">
        <f t="shared" si="47"/>
        <v>195</v>
      </c>
      <c r="J433" s="32">
        <f t="shared" si="49"/>
        <v>2607</v>
      </c>
      <c r="K433" s="33">
        <f t="shared" si="48"/>
        <v>585</v>
      </c>
      <c r="L433" s="62">
        <f t="shared" si="50"/>
        <v>0.78210000000000013</v>
      </c>
    </row>
    <row r="434" spans="1:12" x14ac:dyDescent="0.25">
      <c r="A434" s="59" t="s">
        <v>50</v>
      </c>
      <c r="B434" s="17">
        <v>17</v>
      </c>
      <c r="C434" s="59" t="s">
        <v>48</v>
      </c>
      <c r="D434" s="17" t="s">
        <v>40</v>
      </c>
      <c r="E434" s="60">
        <v>2022</v>
      </c>
      <c r="F434">
        <v>3</v>
      </c>
      <c r="G434" s="17">
        <v>1</v>
      </c>
      <c r="H434">
        <v>197</v>
      </c>
      <c r="I434" s="32">
        <f t="shared" si="47"/>
        <v>197</v>
      </c>
      <c r="J434" s="32">
        <f t="shared" si="49"/>
        <v>2804</v>
      </c>
      <c r="K434" s="33">
        <f t="shared" si="48"/>
        <v>591</v>
      </c>
      <c r="L434" s="62">
        <f t="shared" si="50"/>
        <v>0.84120000000000017</v>
      </c>
    </row>
    <row r="435" spans="1:12" x14ac:dyDescent="0.25">
      <c r="A435" s="59" t="s">
        <v>50</v>
      </c>
      <c r="B435" s="17">
        <v>18</v>
      </c>
      <c r="C435" s="59" t="s">
        <v>48</v>
      </c>
      <c r="D435" s="17" t="s">
        <v>40</v>
      </c>
      <c r="E435" s="60">
        <v>2022</v>
      </c>
      <c r="F435">
        <v>3</v>
      </c>
      <c r="G435" s="17">
        <v>1</v>
      </c>
      <c r="H435">
        <v>201</v>
      </c>
      <c r="I435" s="32">
        <f t="shared" si="47"/>
        <v>201</v>
      </c>
      <c r="J435" s="32">
        <f t="shared" si="49"/>
        <v>3005</v>
      </c>
      <c r="K435" s="33">
        <f t="shared" si="48"/>
        <v>603</v>
      </c>
      <c r="L435" s="62">
        <f t="shared" si="50"/>
        <v>0.90150000000000019</v>
      </c>
    </row>
    <row r="436" spans="1:12" x14ac:dyDescent="0.25">
      <c r="A436" s="59" t="s">
        <v>50</v>
      </c>
      <c r="B436" s="17">
        <v>19</v>
      </c>
      <c r="C436" s="59" t="s">
        <v>48</v>
      </c>
      <c r="D436" s="17" t="s">
        <v>40</v>
      </c>
      <c r="E436" s="60">
        <v>2022</v>
      </c>
      <c r="F436">
        <v>3</v>
      </c>
      <c r="G436" s="17">
        <v>1</v>
      </c>
      <c r="H436">
        <v>204</v>
      </c>
      <c r="I436" s="32">
        <f t="shared" si="47"/>
        <v>204</v>
      </c>
      <c r="J436" s="32">
        <f t="shared" si="49"/>
        <v>3209</v>
      </c>
      <c r="K436" s="33">
        <f t="shared" si="48"/>
        <v>612</v>
      </c>
      <c r="L436" s="62">
        <f t="shared" si="50"/>
        <v>0.96270000000000022</v>
      </c>
    </row>
    <row r="437" spans="1:12" x14ac:dyDescent="0.25">
      <c r="A437" s="59" t="s">
        <v>50</v>
      </c>
      <c r="B437" s="17">
        <v>20</v>
      </c>
      <c r="C437" s="59" t="s">
        <v>48</v>
      </c>
      <c r="D437" s="17" t="s">
        <v>40</v>
      </c>
      <c r="E437" s="60">
        <v>2022</v>
      </c>
      <c r="F437">
        <v>3</v>
      </c>
      <c r="G437" s="17">
        <v>1</v>
      </c>
      <c r="H437">
        <v>209</v>
      </c>
      <c r="I437" s="32">
        <f t="shared" si="47"/>
        <v>209</v>
      </c>
      <c r="J437" s="32">
        <f t="shared" si="49"/>
        <v>3418</v>
      </c>
      <c r="K437" s="33">
        <f t="shared" si="48"/>
        <v>627</v>
      </c>
      <c r="L437" s="62">
        <f t="shared" si="50"/>
        <v>1.0254000000000003</v>
      </c>
    </row>
    <row r="438" spans="1:12" x14ac:dyDescent="0.25">
      <c r="A438" s="59" t="s">
        <v>50</v>
      </c>
      <c r="B438" s="17">
        <v>21</v>
      </c>
      <c r="C438" s="59" t="s">
        <v>48</v>
      </c>
      <c r="D438" s="17" t="s">
        <v>40</v>
      </c>
      <c r="E438" s="60">
        <v>2022</v>
      </c>
      <c r="F438">
        <v>3</v>
      </c>
      <c r="G438" s="17">
        <v>1</v>
      </c>
      <c r="H438">
        <v>179</v>
      </c>
      <c r="I438" s="32">
        <f t="shared" si="47"/>
        <v>179</v>
      </c>
      <c r="J438" s="32">
        <f t="shared" si="49"/>
        <v>3597</v>
      </c>
      <c r="K438" s="33">
        <f t="shared" si="48"/>
        <v>537</v>
      </c>
      <c r="L438" s="62">
        <f t="shared" si="50"/>
        <v>1.0791000000000004</v>
      </c>
    </row>
    <row r="439" spans="1:12" x14ac:dyDescent="0.25">
      <c r="A439" s="59" t="s">
        <v>50</v>
      </c>
      <c r="B439" s="17">
        <v>21</v>
      </c>
      <c r="C439" s="59" t="s">
        <v>48</v>
      </c>
      <c r="D439" s="60" t="s">
        <v>51</v>
      </c>
      <c r="E439" s="60">
        <v>2022</v>
      </c>
      <c r="F439">
        <v>3</v>
      </c>
      <c r="G439" s="17">
        <v>1</v>
      </c>
      <c r="H439">
        <v>34</v>
      </c>
      <c r="I439" s="32">
        <f t="shared" si="47"/>
        <v>34</v>
      </c>
      <c r="J439" s="32">
        <f t="shared" si="49"/>
        <v>3631</v>
      </c>
      <c r="K439" s="33">
        <f t="shared" si="48"/>
        <v>102</v>
      </c>
      <c r="L439" s="62">
        <f t="shared" si="50"/>
        <v>1.0893000000000004</v>
      </c>
    </row>
    <row r="440" spans="1:12" x14ac:dyDescent="0.25">
      <c r="A440" s="59" t="s">
        <v>50</v>
      </c>
      <c r="B440" s="17">
        <v>22</v>
      </c>
      <c r="C440" s="59" t="s">
        <v>48</v>
      </c>
      <c r="D440" s="60" t="s">
        <v>51</v>
      </c>
      <c r="E440" s="60">
        <v>2022</v>
      </c>
      <c r="F440">
        <v>3</v>
      </c>
      <c r="G440" s="17">
        <v>1</v>
      </c>
      <c r="H440">
        <v>47</v>
      </c>
      <c r="I440" s="32">
        <f t="shared" si="47"/>
        <v>47</v>
      </c>
      <c r="J440" s="32">
        <f t="shared" si="49"/>
        <v>3678</v>
      </c>
      <c r="K440" s="33">
        <f t="shared" si="48"/>
        <v>141</v>
      </c>
      <c r="L440" s="62">
        <f t="shared" si="50"/>
        <v>1.1034000000000004</v>
      </c>
    </row>
    <row r="441" spans="1:12" x14ac:dyDescent="0.25">
      <c r="A441" s="59" t="s">
        <v>50</v>
      </c>
      <c r="B441" s="17">
        <v>22</v>
      </c>
      <c r="C441" s="59" t="s">
        <v>48</v>
      </c>
      <c r="D441" s="60" t="s">
        <v>52</v>
      </c>
      <c r="E441" s="60">
        <v>2022</v>
      </c>
      <c r="F441">
        <v>3</v>
      </c>
      <c r="G441" s="17">
        <v>1</v>
      </c>
      <c r="H441">
        <v>80</v>
      </c>
      <c r="I441" s="32">
        <f t="shared" si="47"/>
        <v>80</v>
      </c>
      <c r="J441" s="32">
        <f t="shared" si="49"/>
        <v>3758</v>
      </c>
      <c r="K441" s="33">
        <f t="shared" si="48"/>
        <v>240</v>
      </c>
      <c r="L441" s="62">
        <f t="shared" si="50"/>
        <v>1.1274000000000004</v>
      </c>
    </row>
    <row r="442" spans="1:12" x14ac:dyDescent="0.25">
      <c r="A442" s="59" t="s">
        <v>50</v>
      </c>
      <c r="B442" s="17">
        <v>22</v>
      </c>
      <c r="C442" s="59" t="s">
        <v>48</v>
      </c>
      <c r="D442" s="60" t="s">
        <v>53</v>
      </c>
      <c r="E442" s="60">
        <v>2022</v>
      </c>
      <c r="F442">
        <v>3</v>
      </c>
      <c r="G442" s="17">
        <v>1</v>
      </c>
      <c r="H442" s="59">
        <v>30</v>
      </c>
      <c r="I442" s="32">
        <f t="shared" si="47"/>
        <v>30</v>
      </c>
      <c r="J442" s="32">
        <f t="shared" si="49"/>
        <v>3788</v>
      </c>
      <c r="K442" s="33">
        <f t="shared" si="48"/>
        <v>90</v>
      </c>
      <c r="L442" s="62">
        <f t="shared" si="50"/>
        <v>1.1364000000000003</v>
      </c>
    </row>
    <row r="443" spans="1:12" x14ac:dyDescent="0.25">
      <c r="A443" s="59" t="s">
        <v>50</v>
      </c>
      <c r="B443" s="17">
        <v>22</v>
      </c>
      <c r="C443" s="59" t="s">
        <v>48</v>
      </c>
      <c r="D443" s="60" t="s">
        <v>54</v>
      </c>
      <c r="E443" s="60">
        <v>2022</v>
      </c>
      <c r="F443">
        <v>3</v>
      </c>
      <c r="G443" s="17">
        <v>1</v>
      </c>
      <c r="H443">
        <v>15</v>
      </c>
      <c r="I443" s="32">
        <f t="shared" si="47"/>
        <v>15</v>
      </c>
      <c r="J443" s="32">
        <f t="shared" si="49"/>
        <v>3803</v>
      </c>
      <c r="K443" s="33">
        <f t="shared" si="48"/>
        <v>45</v>
      </c>
      <c r="L443" s="62">
        <f t="shared" si="50"/>
        <v>1.1409000000000002</v>
      </c>
    </row>
    <row r="444" spans="1:12" x14ac:dyDescent="0.25">
      <c r="A444" s="59" t="s">
        <v>50</v>
      </c>
      <c r="B444" s="17">
        <v>22</v>
      </c>
      <c r="C444" s="59" t="s">
        <v>48</v>
      </c>
      <c r="D444" s="60" t="s">
        <v>55</v>
      </c>
      <c r="E444" s="60">
        <v>2022</v>
      </c>
      <c r="F444">
        <v>3</v>
      </c>
      <c r="G444" s="17">
        <v>1</v>
      </c>
      <c r="H444">
        <v>25</v>
      </c>
      <c r="I444" s="32">
        <f t="shared" si="47"/>
        <v>25</v>
      </c>
      <c r="J444" s="32">
        <f t="shared" si="49"/>
        <v>3828</v>
      </c>
      <c r="K444" s="33">
        <f t="shared" si="48"/>
        <v>75</v>
      </c>
      <c r="L444" s="62">
        <f t="shared" si="50"/>
        <v>1.1484000000000003</v>
      </c>
    </row>
    <row r="445" spans="1:12" x14ac:dyDescent="0.25">
      <c r="A445" s="59" t="s">
        <v>50</v>
      </c>
      <c r="B445" s="17">
        <v>22</v>
      </c>
      <c r="C445" s="59" t="s">
        <v>48</v>
      </c>
      <c r="D445" s="60" t="s">
        <v>40</v>
      </c>
      <c r="E445" s="60">
        <v>2022</v>
      </c>
      <c r="F445">
        <v>3</v>
      </c>
      <c r="G445" s="17">
        <v>1</v>
      </c>
      <c r="H445">
        <v>19</v>
      </c>
      <c r="I445" s="32">
        <f t="shared" si="47"/>
        <v>19</v>
      </c>
      <c r="J445" s="32">
        <f t="shared" si="49"/>
        <v>3847</v>
      </c>
      <c r="K445" s="33">
        <f t="shared" si="48"/>
        <v>57</v>
      </c>
      <c r="L445" s="62">
        <f t="shared" si="50"/>
        <v>1.1541000000000003</v>
      </c>
    </row>
    <row r="446" spans="1:12" x14ac:dyDescent="0.25">
      <c r="A446" s="59"/>
      <c r="B446" s="17"/>
      <c r="C446" s="59"/>
      <c r="D446" s="60"/>
      <c r="E446" s="60"/>
      <c r="G446" s="17"/>
      <c r="I446" s="32"/>
      <c r="J446" s="32"/>
      <c r="K446" s="33"/>
      <c r="L446" s="62"/>
    </row>
    <row r="447" spans="1:12" x14ac:dyDescent="0.25">
      <c r="A447" s="59" t="s">
        <v>56</v>
      </c>
      <c r="B447" s="17">
        <v>23</v>
      </c>
      <c r="C447" s="59" t="s">
        <v>57</v>
      </c>
      <c r="D447" s="60" t="s">
        <v>46</v>
      </c>
      <c r="E447" s="60">
        <v>2023</v>
      </c>
      <c r="F447">
        <v>3</v>
      </c>
      <c r="G447" s="17">
        <v>1</v>
      </c>
      <c r="H447" s="17">
        <v>219</v>
      </c>
      <c r="I447" s="32">
        <f t="shared" si="47"/>
        <v>219</v>
      </c>
      <c r="J447" s="32">
        <v>219</v>
      </c>
      <c r="K447" s="33">
        <f>I447*F447</f>
        <v>657</v>
      </c>
      <c r="L447" s="62">
        <f>K447/10000</f>
        <v>6.5699999999999995E-2</v>
      </c>
    </row>
    <row r="448" spans="1:12" x14ac:dyDescent="0.25">
      <c r="A448" s="59" t="s">
        <v>56</v>
      </c>
      <c r="B448" s="17">
        <v>24</v>
      </c>
      <c r="C448" s="59" t="s">
        <v>57</v>
      </c>
      <c r="D448" s="60" t="s">
        <v>46</v>
      </c>
      <c r="E448" s="60">
        <v>2023</v>
      </c>
      <c r="F448">
        <v>3</v>
      </c>
      <c r="G448" s="17">
        <v>1</v>
      </c>
      <c r="H448" s="17">
        <v>219</v>
      </c>
      <c r="I448" s="32">
        <f t="shared" si="47"/>
        <v>219</v>
      </c>
      <c r="J448" s="32">
        <f>I448+J447</f>
        <v>438</v>
      </c>
      <c r="K448" s="33">
        <f t="shared" si="48"/>
        <v>657</v>
      </c>
      <c r="L448" s="62">
        <f>(K448/10000)+L447</f>
        <v>0.13139999999999999</v>
      </c>
    </row>
    <row r="449" spans="1:12" x14ac:dyDescent="0.25">
      <c r="A449" s="59" t="s">
        <v>56</v>
      </c>
      <c r="B449" s="17">
        <v>25</v>
      </c>
      <c r="C449" s="59" t="s">
        <v>57</v>
      </c>
      <c r="D449" s="60" t="s">
        <v>46</v>
      </c>
      <c r="E449" s="60">
        <v>2023</v>
      </c>
      <c r="F449">
        <v>3</v>
      </c>
      <c r="G449" s="17">
        <v>1</v>
      </c>
      <c r="H449" s="17">
        <v>217</v>
      </c>
      <c r="I449" s="32">
        <f t="shared" si="47"/>
        <v>217</v>
      </c>
      <c r="J449" s="32">
        <f t="shared" ref="J449:J459" si="51">I449+J448</f>
        <v>655</v>
      </c>
      <c r="K449" s="33">
        <f t="shared" si="48"/>
        <v>651</v>
      </c>
      <c r="L449" s="62">
        <f t="shared" ref="L449:L459" si="52">(K449/10000)+L448</f>
        <v>0.19650000000000001</v>
      </c>
    </row>
    <row r="450" spans="1:12" x14ac:dyDescent="0.25">
      <c r="A450" s="59" t="s">
        <v>56</v>
      </c>
      <c r="B450" s="17">
        <v>26</v>
      </c>
      <c r="C450" s="59" t="s">
        <v>57</v>
      </c>
      <c r="D450" s="60" t="s">
        <v>46</v>
      </c>
      <c r="E450" s="60">
        <v>2023</v>
      </c>
      <c r="F450">
        <v>3</v>
      </c>
      <c r="G450" s="17">
        <v>1</v>
      </c>
      <c r="H450" s="17">
        <v>215</v>
      </c>
      <c r="I450" s="32">
        <f t="shared" si="47"/>
        <v>215</v>
      </c>
      <c r="J450" s="32">
        <f t="shared" si="51"/>
        <v>870</v>
      </c>
      <c r="K450" s="33">
        <f t="shared" si="48"/>
        <v>645</v>
      </c>
      <c r="L450" s="62">
        <f t="shared" si="52"/>
        <v>0.26100000000000001</v>
      </c>
    </row>
    <row r="451" spans="1:12" x14ac:dyDescent="0.25">
      <c r="A451" s="59" t="s">
        <v>56</v>
      </c>
      <c r="B451" s="17">
        <v>27</v>
      </c>
      <c r="C451" s="59" t="s">
        <v>57</v>
      </c>
      <c r="D451" s="60" t="s">
        <v>46</v>
      </c>
      <c r="E451" s="60">
        <v>2023</v>
      </c>
      <c r="F451">
        <v>3</v>
      </c>
      <c r="G451" s="17">
        <v>1</v>
      </c>
      <c r="H451" s="17">
        <v>214</v>
      </c>
      <c r="I451" s="32">
        <f t="shared" si="47"/>
        <v>214</v>
      </c>
      <c r="J451" s="32">
        <f t="shared" si="51"/>
        <v>1084</v>
      </c>
      <c r="K451" s="33">
        <f t="shared" si="48"/>
        <v>642</v>
      </c>
      <c r="L451" s="62">
        <f t="shared" si="52"/>
        <v>0.32519999999999999</v>
      </c>
    </row>
    <row r="452" spans="1:12" x14ac:dyDescent="0.25">
      <c r="A452" s="59" t="s">
        <v>56</v>
      </c>
      <c r="B452" s="17">
        <v>28</v>
      </c>
      <c r="C452" s="59" t="s">
        <v>57</v>
      </c>
      <c r="D452" s="60" t="s">
        <v>46</v>
      </c>
      <c r="E452" s="60">
        <v>2023</v>
      </c>
      <c r="F452">
        <v>3</v>
      </c>
      <c r="G452" s="17">
        <v>1</v>
      </c>
      <c r="H452" s="17">
        <v>213</v>
      </c>
      <c r="I452" s="32">
        <f t="shared" si="47"/>
        <v>213</v>
      </c>
      <c r="J452" s="32">
        <f t="shared" si="51"/>
        <v>1297</v>
      </c>
      <c r="K452" s="33">
        <f t="shared" si="48"/>
        <v>639</v>
      </c>
      <c r="L452" s="62">
        <f t="shared" si="52"/>
        <v>0.3891</v>
      </c>
    </row>
    <row r="453" spans="1:12" x14ac:dyDescent="0.25">
      <c r="A453" s="59" t="s">
        <v>56</v>
      </c>
      <c r="B453" s="17">
        <v>29</v>
      </c>
      <c r="C453" s="59" t="s">
        <v>57</v>
      </c>
      <c r="D453" s="60" t="s">
        <v>46</v>
      </c>
      <c r="E453" s="60">
        <v>2023</v>
      </c>
      <c r="F453">
        <v>3</v>
      </c>
      <c r="G453" s="17">
        <v>1</v>
      </c>
      <c r="H453" s="17">
        <v>213</v>
      </c>
      <c r="I453" s="32">
        <f t="shared" si="47"/>
        <v>213</v>
      </c>
      <c r="J453" s="32">
        <f t="shared" si="51"/>
        <v>1510</v>
      </c>
      <c r="K453" s="33">
        <f t="shared" si="48"/>
        <v>639</v>
      </c>
      <c r="L453" s="62">
        <f t="shared" si="52"/>
        <v>0.45300000000000001</v>
      </c>
    </row>
    <row r="454" spans="1:12" x14ac:dyDescent="0.25">
      <c r="A454" s="59" t="s">
        <v>56</v>
      </c>
      <c r="B454" s="17">
        <v>30</v>
      </c>
      <c r="C454" s="59" t="s">
        <v>57</v>
      </c>
      <c r="D454" s="60" t="s">
        <v>46</v>
      </c>
      <c r="E454" s="60">
        <v>2023</v>
      </c>
      <c r="F454">
        <v>3</v>
      </c>
      <c r="G454" s="17">
        <v>1</v>
      </c>
      <c r="H454" s="17">
        <v>213</v>
      </c>
      <c r="I454" s="32">
        <f t="shared" si="47"/>
        <v>213</v>
      </c>
      <c r="J454" s="32">
        <f t="shared" si="51"/>
        <v>1723</v>
      </c>
      <c r="K454" s="33">
        <f t="shared" si="48"/>
        <v>639</v>
      </c>
      <c r="L454" s="62">
        <f t="shared" si="52"/>
        <v>0.51690000000000003</v>
      </c>
    </row>
    <row r="455" spans="1:12" x14ac:dyDescent="0.25">
      <c r="A455" s="59" t="s">
        <v>56</v>
      </c>
      <c r="B455" s="17">
        <v>31</v>
      </c>
      <c r="C455" s="59" t="s">
        <v>57</v>
      </c>
      <c r="D455" s="60" t="s">
        <v>46</v>
      </c>
      <c r="E455" s="60">
        <v>2023</v>
      </c>
      <c r="F455">
        <v>3</v>
      </c>
      <c r="G455" s="17">
        <v>1</v>
      </c>
      <c r="H455" s="17">
        <v>210</v>
      </c>
      <c r="I455" s="32">
        <f t="shared" si="47"/>
        <v>210</v>
      </c>
      <c r="J455" s="32">
        <f t="shared" si="51"/>
        <v>1933</v>
      </c>
      <c r="K455" s="33">
        <f t="shared" si="48"/>
        <v>630</v>
      </c>
      <c r="L455" s="62">
        <f t="shared" si="52"/>
        <v>0.57990000000000008</v>
      </c>
    </row>
    <row r="456" spans="1:12" x14ac:dyDescent="0.25">
      <c r="A456" s="59" t="s">
        <v>56</v>
      </c>
      <c r="B456" s="17">
        <v>32</v>
      </c>
      <c r="C456" s="59" t="s">
        <v>57</v>
      </c>
      <c r="D456" s="60" t="s">
        <v>46</v>
      </c>
      <c r="E456" s="60">
        <v>2023</v>
      </c>
      <c r="F456">
        <v>3</v>
      </c>
      <c r="G456" s="17">
        <v>1</v>
      </c>
      <c r="H456" s="17">
        <v>208</v>
      </c>
      <c r="I456" s="32">
        <f t="shared" si="47"/>
        <v>208</v>
      </c>
      <c r="J456" s="32">
        <f t="shared" si="51"/>
        <v>2141</v>
      </c>
      <c r="K456" s="33">
        <f t="shared" si="48"/>
        <v>624</v>
      </c>
      <c r="L456" s="62">
        <f t="shared" si="52"/>
        <v>0.64230000000000009</v>
      </c>
    </row>
    <row r="457" spans="1:12" x14ac:dyDescent="0.25">
      <c r="A457" s="59" t="s">
        <v>56</v>
      </c>
      <c r="B457" s="17">
        <v>33</v>
      </c>
      <c r="C457" s="59" t="s">
        <v>57</v>
      </c>
      <c r="D457" s="60" t="s">
        <v>46</v>
      </c>
      <c r="E457" s="60">
        <v>2023</v>
      </c>
      <c r="F457">
        <v>3</v>
      </c>
      <c r="G457" s="17">
        <v>1</v>
      </c>
      <c r="H457" s="17">
        <v>206</v>
      </c>
      <c r="I457" s="32">
        <f t="shared" si="47"/>
        <v>206</v>
      </c>
      <c r="J457" s="32">
        <f t="shared" si="51"/>
        <v>2347</v>
      </c>
      <c r="K457" s="33">
        <f t="shared" si="48"/>
        <v>618</v>
      </c>
      <c r="L457" s="62">
        <f t="shared" si="52"/>
        <v>0.70410000000000006</v>
      </c>
    </row>
    <row r="458" spans="1:12" x14ac:dyDescent="0.25">
      <c r="A458" s="59" t="s">
        <v>56</v>
      </c>
      <c r="B458" s="17">
        <v>34</v>
      </c>
      <c r="C458" s="59" t="s">
        <v>57</v>
      </c>
      <c r="D458" s="60" t="s">
        <v>46</v>
      </c>
      <c r="E458" s="60">
        <v>2023</v>
      </c>
      <c r="F458">
        <v>3</v>
      </c>
      <c r="G458" s="17">
        <v>1</v>
      </c>
      <c r="H458" s="17">
        <v>204</v>
      </c>
      <c r="I458" s="32">
        <f t="shared" si="47"/>
        <v>204</v>
      </c>
      <c r="J458" s="32">
        <f t="shared" si="51"/>
        <v>2551</v>
      </c>
      <c r="K458" s="33">
        <f t="shared" si="48"/>
        <v>612</v>
      </c>
      <c r="L458" s="62">
        <f t="shared" si="52"/>
        <v>0.76530000000000009</v>
      </c>
    </row>
    <row r="459" spans="1:12" x14ac:dyDescent="0.25">
      <c r="A459" s="59" t="s">
        <v>56</v>
      </c>
      <c r="B459" s="17">
        <v>35</v>
      </c>
      <c r="C459" s="59" t="s">
        <v>57</v>
      </c>
      <c r="D459" s="60" t="s">
        <v>40</v>
      </c>
      <c r="E459" s="60">
        <v>2023</v>
      </c>
      <c r="F459">
        <v>3</v>
      </c>
      <c r="G459" s="17">
        <v>1</v>
      </c>
      <c r="H459" s="17">
        <v>200</v>
      </c>
      <c r="I459" s="32">
        <v>200</v>
      </c>
      <c r="J459" s="32">
        <f t="shared" si="51"/>
        <v>2751</v>
      </c>
      <c r="K459" s="33">
        <f t="shared" si="48"/>
        <v>600</v>
      </c>
      <c r="L459" s="62">
        <f t="shared" si="52"/>
        <v>0.82530000000000014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Martella</dc:creator>
  <cp:lastModifiedBy>Mark Martella</cp:lastModifiedBy>
  <dcterms:created xsi:type="dcterms:W3CDTF">2026-04-27T04:34:36Z</dcterms:created>
  <dcterms:modified xsi:type="dcterms:W3CDTF">2026-04-27T04:35:18Z</dcterms:modified>
</cp:coreProperties>
</file>